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puts" sheetId="2" state="visible" r:id="rId4"/>
    <sheet name="District Data" sheetId="3" state="visible" r:id="rId5"/>
    <sheet name="Model" sheetId="4" state="visible" r:id="rId6"/>
    <sheet name="Summary" sheetId="5" state="visible" r:id="rId7"/>
    <sheet name="Macro Results" sheetId="6" state="visible" r:id="rId8"/>
  </sheets>
  <definedNames>
    <definedName function="false" hidden="false" name="Budget1" vbProcedure="false">Inputs!$B$12</definedName>
    <definedName function="false" hidden="false" name="Budget2" vbProcedure="false">Inputs!$B$13</definedName>
    <definedName function="false" hidden="false" name="ConvRate" vbProcedure="false">Inputs!$B$10</definedName>
    <definedName function="false" hidden="false" name="FirstFill" vbProcedure="false">Inputs!$B$8</definedName>
    <definedName function="false" hidden="false" name="IdealPPO" vbProcedure="false">Inputs!$B$6</definedName>
    <definedName function="false" hidden="false" name="IdealTP" vbProcedure="false">Inputs!$B$5</definedName>
    <definedName function="false" hidden="false" name="NationalPCC" vbProcedure="false">Model!$D$2</definedName>
    <definedName function="false" hidden="false" name="PCC_L1" vbProcedure="false">Inputs!$B$17</definedName>
    <definedName function="false" hidden="false" name="PCC_L2" vbProcedure="false">Inputs!$B$18</definedName>
    <definedName function="false" hidden="false" name="PCC_L3" vbProcedure="false">Inputs!$B$19</definedName>
    <definedName function="false" hidden="false" name="PCC_L4" vbProcedure="false">Inputs!$B$20</definedName>
    <definedName function="false" hidden="false" name="PPO_L1" vbProcedure="false">Inputs!$B$21</definedName>
    <definedName function="false" hidden="false" name="PPO_L2" vbProcedure="false">Inputs!$B$22</definedName>
    <definedName function="false" hidden="false" name="PPO_L3" vbProcedure="false">Inputs!$B$23</definedName>
    <definedName function="false" hidden="false" name="PPO_L4" vbProcedure="false">Inputs!$B$24</definedName>
    <definedName function="false" hidden="false" name="Share2025" vbProcedure="false">Inputs!$B$14</definedName>
    <definedName function="false" hidden="false" name="Share2026" vbProcedure="false">Inputs!$B$15</definedName>
    <definedName function="false" hidden="false" name="Share2027" vbProcedure="false">Inputs!$B$16</definedName>
    <definedName function="false" hidden="false" name="ShortlistFinal" vbProcedure="false">Model!$F$2</definedName>
    <definedName function="false" hidden="false" name="TopN" vbProcedure="false">Inputs!$B$11</definedName>
    <definedName function="false" hidden="false" name="TPBasis" vbProcedure="false">Inputs!$B$9</definedName>
    <definedName function="false" hidden="false" name="WaveNames" vbProcedure="false">Inputs!$A$27:$A$30</definedName>
    <definedName function="false" hidden="false" name="WaveNumbers" vbProcedure="false">Inputs!$B$27:$B$30</definedName>
    <definedName function="false" hidden="false" name="Weeks" vbProcedure="false">Inputs!$B$7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<sst xmlns="http://schemas.openxmlformats.org/spreadsheetml/2006/main" count="672" uniqueCount="307">
  <si>
    <t xml:space="preserve">Retail Footprint Expansion Model</t>
  </si>
  <si>
    <t xml:space="preserve">All sales, retailer and store data in this workbook is SIMULATED. It is not real company data and exists only to explain the method. District boundaries (geoBoundaries) and population (Pakistan Population Census 2023) are public.</t>
  </si>
  <si>
    <t xml:space="preserve">What this model answers</t>
  </si>
  <si>
    <t xml:space="preserve">How many new freezers should the business invest in, in each district, and do enough real shops exist to take them?</t>
  </si>
  <si>
    <t xml:space="preserve">Who it is for</t>
  </si>
  <si>
    <t xml:space="preserve">Anyone in Sales, Finance, Marketing or Operations. No coding needed: change the blue cells on the Inputs sheet and everything recalculates.</t>
  </si>
  <si>
    <t xml:space="preserve">How to use it</t>
  </si>
  <si>
    <t xml:space="preserve">1. Review or change the settings on the Inputs sheet.  2. Read the results on the Model and Summary sheets.  3. Optional: run the macro RunFootprintModel (see vba/FootprintModel.bas) to recalculate outlet recommendations step by step on the Macro Results sheet.</t>
  </si>
  <si>
    <t xml:space="preserve">Color code</t>
  </si>
  <si>
    <t xml:space="preserve">Blue text on yellow = input you can change. Black text = formula. Green text = link to another sheet.</t>
  </si>
  <si>
    <t xml:space="preserve">Glossary</t>
  </si>
  <si>
    <t xml:space="preserve">PCC</t>
  </si>
  <si>
    <t xml:space="preserve">Per Capita Consumption: liters of ice cream sold per target person per year (Volume / Target population).</t>
  </si>
  <si>
    <t xml:space="preserve">PPO</t>
  </si>
  <si>
    <t xml:space="preserve">Population Per Outlet: target people for every freezer outlet (Target population / Outlets). High PPO means underserved.</t>
  </si>
  <si>
    <t xml:space="preserve">TP</t>
  </si>
  <si>
    <t xml:space="preserve">Throughput: liters sold per freezer per week (Volume / Outlets / Weeks). One outlet means one freezer.</t>
  </si>
  <si>
    <t xml:space="preserve">NI</t>
  </si>
  <si>
    <t xml:space="preserve">New Induction: a retailer that received a freezer during the year. NI TP is the throughput of those new retailers.</t>
  </si>
  <si>
    <t xml:space="preserve">LSM 5+</t>
  </si>
  <si>
    <t xml:space="preserve">Living Standards Measure 5 and above: the share of people who can afford to buy ice cream regularly (the target population).</t>
  </si>
  <si>
    <t xml:space="preserve">GOLY</t>
  </si>
  <si>
    <t xml:space="preserve">Growth Over Last Year.</t>
  </si>
  <si>
    <t xml:space="preserve">CAGR</t>
  </si>
  <si>
    <t xml:space="preserve">Compound Annual Growth Rate (2022 to 2024).</t>
  </si>
  <si>
    <t xml:space="preserve">Ideal TP / Ideal PPO</t>
  </si>
  <si>
    <t xml:space="preserve">Benchmarks. Freezers are added until TP falls to the Ideal TP or PPO falls to the Ideal PPO, whichever comes first.</t>
  </si>
  <si>
    <t xml:space="preserve">First fill</t>
  </si>
  <si>
    <t xml:space="preserve">Liters needed to stock a brand new freezer the first time.</t>
  </si>
  <si>
    <t xml:space="preserve">Census universe</t>
  </si>
  <si>
    <t xml:space="preserve">Stores from a third party retail census that sell the main snacking competitors, are in a target channel, have high turnover and are not already customers.</t>
  </si>
  <si>
    <t xml:space="preserve">Conversion rate</t>
  </si>
  <si>
    <t xml:space="preserve">Share of census universe stores expected to agree to take a freezer.</t>
  </si>
  <si>
    <t xml:space="preserve">Expansion wave</t>
  </si>
  <si>
    <t xml:space="preserve">Order of expansion from the strategy: 1 Strongholds (citadel and distributor based districts), 2 their Neighbouring districts, 3 Population High districts, 4 the Rest.</t>
  </si>
  <si>
    <t xml:space="preserve">Inputs (edit the blue cells)</t>
  </si>
  <si>
    <t xml:space="preserve">Setting</t>
  </si>
  <si>
    <t xml:space="preserve">Value</t>
  </si>
  <si>
    <t xml:space="preserve">Note</t>
  </si>
  <si>
    <t xml:space="preserve">Ideal TP (liters per freezer per week)</t>
  </si>
  <si>
    <t xml:space="preserve">Stop adding freezers when throughput falls to this level.</t>
  </si>
  <si>
    <t xml:space="preserve">Ideal PPO (target people per outlet)</t>
  </si>
  <si>
    <t xml:space="preserve">Industry benchmark.</t>
  </si>
  <si>
    <t xml:space="preserve">Weeks per year</t>
  </si>
  <si>
    <t xml:space="preserve">Volumes are full year volumes.</t>
  </si>
  <si>
    <t xml:space="preserve">First fill per new freezer (liters)</t>
  </si>
  <si>
    <t xml:space="preserve">Stock needed the first time a freezer is placed.</t>
  </si>
  <si>
    <t xml:space="preserve">Throughput assumed for each new outlet</t>
  </si>
  <si>
    <t xml:space="preserve">NI TP</t>
  </si>
  <si>
    <t xml:space="preserve">NI TP = throughput of last year's new retailers (original method). District TP = average of all retailers.</t>
  </si>
  <si>
    <t xml:space="preserve">Census conversion rate</t>
  </si>
  <si>
    <t xml:space="preserve">Share of eligible census stores expected to accept a freezer.</t>
  </si>
  <si>
    <t xml:space="preserve">Number of districts in the shortlist</t>
  </si>
  <si>
    <t xml:space="preserve">Top districts by priority.</t>
  </si>
  <si>
    <t xml:space="preserve">Budget scenario 1 (freezers funded)</t>
  </si>
  <si>
    <t xml:space="preserve">Shared across shortlisted districts by contribution.</t>
  </si>
  <si>
    <t xml:space="preserve">Budget scenario 2 (freezers funded)</t>
  </si>
  <si>
    <t xml:space="preserve">Rollout share in 2025</t>
  </si>
  <si>
    <t xml:space="preserve">Original plan split: 300, 300 and 250 out of 850.</t>
  </si>
  <si>
    <t xml:space="preserve">Rollout share in 2026</t>
  </si>
  <si>
    <t xml:space="preserve">Rollout share in 2027</t>
  </si>
  <si>
    <t xml:space="preserve">PCC threshold for Layer 01</t>
  </si>
  <si>
    <t xml:space="preserve">Liters per target person per year (at or above).</t>
  </si>
  <si>
    <t xml:space="preserve">PCC threshold for Layer 02</t>
  </si>
  <si>
    <t xml:space="preserve">PCC threshold for Layer 03</t>
  </si>
  <si>
    <t xml:space="preserve">PCC threshold for Layer 04</t>
  </si>
  <si>
    <t xml:space="preserve">PPO threshold for Layer 01</t>
  </si>
  <si>
    <t xml:space="preserve">Target people per outlet (at or above).</t>
  </si>
  <si>
    <t xml:space="preserve">PPO threshold for Layer 02</t>
  </si>
  <si>
    <t xml:space="preserve">PPO threshold for Layer 03</t>
  </si>
  <si>
    <t xml:space="preserve">PPO threshold for Layer 04</t>
  </si>
  <si>
    <t xml:space="preserve">Expansion wave by nature of district</t>
  </si>
  <si>
    <t xml:space="preserve">Stronghold</t>
  </si>
  <si>
    <t xml:space="preserve">Neighbouring</t>
  </si>
  <si>
    <t xml:space="preserve">Population High</t>
  </si>
  <si>
    <t xml:space="preserve">Rest</t>
  </si>
  <si>
    <t xml:space="preserve">District Data (inputs produced by the Python pipeline)</t>
  </si>
  <si>
    <t xml:space="preserve">District</t>
  </si>
  <si>
    <t xml:space="preserve">Province</t>
  </si>
  <si>
    <t xml:space="preserve">Sales region</t>
  </si>
  <si>
    <t xml:space="preserve">Nature of district</t>
  </si>
  <si>
    <t xml:space="preserve">Population 2024 (census based)</t>
  </si>
  <si>
    <t xml:space="preserve">LSM 5+ share</t>
  </si>
  <si>
    <t xml:space="preserve">Retailers 2022</t>
  </si>
  <si>
    <t xml:space="preserve">Retailers 2023</t>
  </si>
  <si>
    <t xml:space="preserve">Retailers 2024</t>
  </si>
  <si>
    <t xml:space="preserve">Volume 2022 (liters)</t>
  </si>
  <si>
    <t xml:space="preserve">Volume 2023 (liters)</t>
  </si>
  <si>
    <t xml:space="preserve">Volume 2024 (liters)</t>
  </si>
  <si>
    <t xml:space="preserve">NI retailers 2024</t>
  </si>
  <si>
    <t xml:space="preserve">NI volume 2024 (liters)</t>
  </si>
  <si>
    <t xml:space="preserve">Census universe stores (eligible, not yet customers)</t>
  </si>
  <si>
    <t xml:space="preserve">Abbottabad</t>
  </si>
  <si>
    <t xml:space="preserve">Khyber Pakhtunkhwa</t>
  </si>
  <si>
    <t xml:space="preserve">Islamabad Region</t>
  </si>
  <si>
    <t xml:space="preserve">Attock</t>
  </si>
  <si>
    <t xml:space="preserve">Punjab</t>
  </si>
  <si>
    <t xml:space="preserve">Awaran</t>
  </si>
  <si>
    <t xml:space="preserve">Balochistan</t>
  </si>
  <si>
    <t xml:space="preserve">Karachi Region</t>
  </si>
  <si>
    <t xml:space="preserve">Badin</t>
  </si>
  <si>
    <t xml:space="preserve">Sindh</t>
  </si>
  <si>
    <t xml:space="preserve">Bahawalnagar</t>
  </si>
  <si>
    <t xml:space="preserve">Multan Region</t>
  </si>
  <si>
    <t xml:space="preserve">Bahawalpur</t>
  </si>
  <si>
    <t xml:space="preserve">Bajaur</t>
  </si>
  <si>
    <t xml:space="preserve">Peshawar Region</t>
  </si>
  <si>
    <t xml:space="preserve">Bannu</t>
  </si>
  <si>
    <t xml:space="preserve">Barkhan</t>
  </si>
  <si>
    <t xml:space="preserve">Battagram</t>
  </si>
  <si>
    <t xml:space="preserve">Bhakkar</t>
  </si>
  <si>
    <t xml:space="preserve">Buner</t>
  </si>
  <si>
    <t xml:space="preserve">Chagai</t>
  </si>
  <si>
    <t xml:space="preserve">Chakwal</t>
  </si>
  <si>
    <t xml:space="preserve">Charsadda</t>
  </si>
  <si>
    <t xml:space="preserve">Chitral</t>
  </si>
  <si>
    <t xml:space="preserve">Dadu</t>
  </si>
  <si>
    <t xml:space="preserve">Dera Bugti</t>
  </si>
  <si>
    <t xml:space="preserve">Dera Ghazi Khan</t>
  </si>
  <si>
    <t xml:space="preserve">Dera Ismail Khan</t>
  </si>
  <si>
    <t xml:space="preserve">Faisalabad</t>
  </si>
  <si>
    <t xml:space="preserve">Lahore Region</t>
  </si>
  <si>
    <t xml:space="preserve">Ghotki</t>
  </si>
  <si>
    <t xml:space="preserve">Gujranwala</t>
  </si>
  <si>
    <t xml:space="preserve">Gujrat</t>
  </si>
  <si>
    <t xml:space="preserve">Gwadar</t>
  </si>
  <si>
    <t xml:space="preserve">Hafizabad</t>
  </si>
  <si>
    <t xml:space="preserve">Hangu</t>
  </si>
  <si>
    <t xml:space="preserve">Haripur</t>
  </si>
  <si>
    <t xml:space="preserve">Hyderabad</t>
  </si>
  <si>
    <t xml:space="preserve">Islamabad Capital Territory</t>
  </si>
  <si>
    <t xml:space="preserve">Jacobabad</t>
  </si>
  <si>
    <t xml:space="preserve">Jafarabad</t>
  </si>
  <si>
    <t xml:space="preserve">Jamshoro</t>
  </si>
  <si>
    <t xml:space="preserve">Jhal Magsi</t>
  </si>
  <si>
    <t xml:space="preserve">Jhang</t>
  </si>
  <si>
    <t xml:space="preserve">Jhelum</t>
  </si>
  <si>
    <t xml:space="preserve">Kachhi</t>
  </si>
  <si>
    <t xml:space="preserve">Kalat</t>
  </si>
  <si>
    <t xml:space="preserve">Karachi</t>
  </si>
  <si>
    <t xml:space="preserve">Karak</t>
  </si>
  <si>
    <t xml:space="preserve">Kashmore</t>
  </si>
  <si>
    <t xml:space="preserve">Kasur</t>
  </si>
  <si>
    <t xml:space="preserve">Kech</t>
  </si>
  <si>
    <t xml:space="preserve">Khairpur</t>
  </si>
  <si>
    <t xml:space="preserve">Khanewal</t>
  </si>
  <si>
    <t xml:space="preserve">Kharan</t>
  </si>
  <si>
    <t xml:space="preserve">Khushab</t>
  </si>
  <si>
    <t xml:space="preserve">Khuzdar</t>
  </si>
  <si>
    <t xml:space="preserve">Khyber</t>
  </si>
  <si>
    <t xml:space="preserve">Kohat</t>
  </si>
  <si>
    <t xml:space="preserve">Kohistan</t>
  </si>
  <si>
    <t xml:space="preserve">Kohlu</t>
  </si>
  <si>
    <t xml:space="preserve">Kurram</t>
  </si>
  <si>
    <t xml:space="preserve">Lahore</t>
  </si>
  <si>
    <t xml:space="preserve">Lakki Marwat</t>
  </si>
  <si>
    <t xml:space="preserve">Lasbela</t>
  </si>
  <si>
    <t xml:space="preserve">Layyah</t>
  </si>
  <si>
    <t xml:space="preserve">Lodhran</t>
  </si>
  <si>
    <t xml:space="preserve">Loralai</t>
  </si>
  <si>
    <t xml:space="preserve">Lower Dir</t>
  </si>
  <si>
    <t xml:space="preserve">Malakand</t>
  </si>
  <si>
    <t xml:space="preserve">Mandi Bahauddin</t>
  </si>
  <si>
    <t xml:space="preserve">Mansehra</t>
  </si>
  <si>
    <t xml:space="preserve">Mardan</t>
  </si>
  <si>
    <t xml:space="preserve">Mastung</t>
  </si>
  <si>
    <t xml:space="preserve">Matiari</t>
  </si>
  <si>
    <t xml:space="preserve">Mianwali</t>
  </si>
  <si>
    <t xml:space="preserve">Mirpurkhas</t>
  </si>
  <si>
    <t xml:space="preserve">Mohmand</t>
  </si>
  <si>
    <t xml:space="preserve">Multan</t>
  </si>
  <si>
    <t xml:space="preserve">Musakhel</t>
  </si>
  <si>
    <t xml:space="preserve">Muzaffargarh</t>
  </si>
  <si>
    <t xml:space="preserve">Narowal</t>
  </si>
  <si>
    <t xml:space="preserve">Nasirabad</t>
  </si>
  <si>
    <t xml:space="preserve">Naushehro Feroze</t>
  </si>
  <si>
    <t xml:space="preserve">Nawabshah</t>
  </si>
  <si>
    <t xml:space="preserve">North Waziristan</t>
  </si>
  <si>
    <t xml:space="preserve">Nowshera</t>
  </si>
  <si>
    <t xml:space="preserve">Nushki</t>
  </si>
  <si>
    <t xml:space="preserve">Okara</t>
  </si>
  <si>
    <t xml:space="preserve">Orakzai</t>
  </si>
  <si>
    <t xml:space="preserve">Pakpattan</t>
  </si>
  <si>
    <t xml:space="preserve">Panjgur</t>
  </si>
  <si>
    <t xml:space="preserve">Peshawar</t>
  </si>
  <si>
    <t xml:space="preserve">Pishin</t>
  </si>
  <si>
    <t xml:space="preserve">Qambar Shahdadkot</t>
  </si>
  <si>
    <t xml:space="preserve">Qilla Abdullah</t>
  </si>
  <si>
    <t xml:space="preserve">Qilla Saifullah</t>
  </si>
  <si>
    <t xml:space="preserve">Quetta</t>
  </si>
  <si>
    <t xml:space="preserve">Rahim Yar Khan</t>
  </si>
  <si>
    <t xml:space="preserve">Rajanpur</t>
  </si>
  <si>
    <t xml:space="preserve">Rawalpindi</t>
  </si>
  <si>
    <t xml:space="preserve">Sahiwal</t>
  </si>
  <si>
    <t xml:space="preserve">Sanghar</t>
  </si>
  <si>
    <t xml:space="preserve">Sargodha</t>
  </si>
  <si>
    <t xml:space="preserve">Shangla</t>
  </si>
  <si>
    <t xml:space="preserve">Sheikhpura</t>
  </si>
  <si>
    <t xml:space="preserve">Shikarpur</t>
  </si>
  <si>
    <t xml:space="preserve">Sialkot</t>
  </si>
  <si>
    <t xml:space="preserve">Sibi</t>
  </si>
  <si>
    <t xml:space="preserve">South Waziristan</t>
  </si>
  <si>
    <t xml:space="preserve">Sukkur</t>
  </si>
  <si>
    <t xml:space="preserve">Swabi</t>
  </si>
  <si>
    <t xml:space="preserve">Swat</t>
  </si>
  <si>
    <t xml:space="preserve">Tando Allahyar</t>
  </si>
  <si>
    <t xml:space="preserve">Tando Muhammad Khan</t>
  </si>
  <si>
    <t xml:space="preserve">Tank</t>
  </si>
  <si>
    <t xml:space="preserve">Tharparkar</t>
  </si>
  <si>
    <t xml:space="preserve">Thatta</t>
  </si>
  <si>
    <t xml:space="preserve">Toba Tek Singh</t>
  </si>
  <si>
    <t xml:space="preserve">Umerkot</t>
  </si>
  <si>
    <t xml:space="preserve">Upper Dir</t>
  </si>
  <si>
    <t xml:space="preserve">Vihari</t>
  </si>
  <si>
    <t xml:space="preserve">Zhob</t>
  </si>
  <si>
    <t xml:space="preserve">Ziarat</t>
  </si>
  <si>
    <t xml:space="preserve">Model (all formulas)</t>
  </si>
  <si>
    <t xml:space="preserve">National PCC</t>
  </si>
  <si>
    <t xml:space="preserve">Shortlist final total</t>
  </si>
  <si>
    <t xml:space="preserve">Target population 2024 (LSM 5+)</t>
  </si>
  <si>
    <t xml:space="preserve">Outlets 2024</t>
  </si>
  <si>
    <t xml:space="preserve">TP 2024 (liters per freezer per week)</t>
  </si>
  <si>
    <t xml:space="preserve">NI TP 2024</t>
  </si>
  <si>
    <t xml:space="preserve">Region NI TP (used when a district had no NI)</t>
  </si>
  <si>
    <t xml:space="preserve">TP assumed per new outlet</t>
  </si>
  <si>
    <t xml:space="preserve">PCC 2024 (liters per target person)</t>
  </si>
  <si>
    <t xml:space="preserve">PPO 2024</t>
  </si>
  <si>
    <t xml:space="preserve">Volume GOLY</t>
  </si>
  <si>
    <t xml:space="preserve">Volume CAGR 2022 to 2024</t>
  </si>
  <si>
    <t xml:space="preserve">Outlets GOLY</t>
  </si>
  <si>
    <t xml:space="preserve">PCC layer</t>
  </si>
  <si>
    <t xml:space="preserve">PPO layer</t>
  </si>
  <si>
    <t xml:space="preserve">Outlets to add before PPO reaches ideal</t>
  </si>
  <si>
    <t xml:space="preserve">TP gap per new outlet (liters per year)</t>
  </si>
  <si>
    <t xml:space="preserve">Outlets to add before TP reaches ideal</t>
  </si>
  <si>
    <t xml:space="preserve">RECOMMENDED NEW OUTLETS (Phase 1 demand)</t>
  </si>
  <si>
    <t xml:space="preserve">Limiting factor</t>
  </si>
  <si>
    <t xml:space="preserve">New total volume (liters)</t>
  </si>
  <si>
    <t xml:space="preserve">New total outlets</t>
  </si>
  <si>
    <t xml:space="preserve">New TP</t>
  </si>
  <si>
    <t xml:space="preserve">New PPO</t>
  </si>
  <si>
    <t xml:space="preserve">Quadrant (PCC against PPO)</t>
  </si>
  <si>
    <t xml:space="preserve">Phase</t>
  </si>
  <si>
    <t xml:space="preserve">Quadrant (TP against PPO)</t>
  </si>
  <si>
    <t xml:space="preserve">Sort score (helper)</t>
  </si>
  <si>
    <t xml:space="preserve">Priority rank</t>
  </si>
  <si>
    <t xml:space="preserve">Shortlisted</t>
  </si>
  <si>
    <t xml:space="preserve">Usable census supply</t>
  </si>
  <si>
    <t xml:space="preserve">FINAL NEW OUTLETS (smaller of demand and supply)</t>
  </si>
  <si>
    <t xml:space="preserve">Constraint</t>
  </si>
  <si>
    <t xml:space="preserve">Final, shortlisted only</t>
  </si>
  <si>
    <t xml:space="preserve">Budget 1: exact share (helper)</t>
  </si>
  <si>
    <t xml:space="preserve">Budget 1: whole part (helper)</t>
  </si>
  <si>
    <t xml:space="preserve">Budget 1: remainder (helper)</t>
  </si>
  <si>
    <t xml:space="preserve">BUDGET SCENARIO 1 FREEZERS</t>
  </si>
  <si>
    <t xml:space="preserve">Budget 2: exact share (helper)</t>
  </si>
  <si>
    <t xml:space="preserve">Budget 2: whole part (helper)</t>
  </si>
  <si>
    <t xml:space="preserve">Budget 2: remainder (helper)</t>
  </si>
  <si>
    <t xml:space="preserve">BUDGET SCENARIO 2 FREEZERS</t>
  </si>
  <si>
    <t xml:space="preserve">2025 exact (helper)</t>
  </si>
  <si>
    <t xml:space="preserve">2026 exact (helper)</t>
  </si>
  <si>
    <t xml:space="preserve">2027 exact (helper)</t>
  </si>
  <si>
    <t xml:space="preserve">2025 whole (helper)</t>
  </si>
  <si>
    <t xml:space="preserve">2026 whole (helper)</t>
  </si>
  <si>
    <t xml:space="preserve">2027 whole (helper)</t>
  </si>
  <si>
    <t xml:space="preserve">2025 remainder (helper)</t>
  </si>
  <si>
    <t xml:space="preserve">2026 remainder (helper)</t>
  </si>
  <si>
    <t xml:space="preserve">2027 remainder (helper)</t>
  </si>
  <si>
    <t xml:space="preserve">Left to place (helper)</t>
  </si>
  <si>
    <t xml:space="preserve">ROLLOUT 2025</t>
  </si>
  <si>
    <t xml:space="preserve">ROLLOUT 2026</t>
  </si>
  <si>
    <t xml:space="preserve">ROLLOUT 2027</t>
  </si>
  <si>
    <t xml:space="preserve">Summary</t>
  </si>
  <si>
    <t xml:space="preserve">Headline</t>
  </si>
  <si>
    <t xml:space="preserve">Districts in the model</t>
  </si>
  <si>
    <t xml:space="preserve">Current outlets (freezers)</t>
  </si>
  <si>
    <t xml:space="preserve">Districts with demand for new outlets</t>
  </si>
  <si>
    <t xml:space="preserve">Shortlisted districts</t>
  </si>
  <si>
    <t xml:space="preserve">Phase 1 demand, all districts (new outlets)</t>
  </si>
  <si>
    <t xml:space="preserve">Phase 1 demand, shortlisted districts</t>
  </si>
  <si>
    <t xml:space="preserve">Phase 2 usable supply, shortlisted districts</t>
  </si>
  <si>
    <t xml:space="preserve">FINAL new outlets, shortlisted districts</t>
  </si>
  <si>
    <t xml:space="preserve">Supply constrained shortlisted districts</t>
  </si>
  <si>
    <t xml:space="preserve">By expansion wave (shortlisted)</t>
  </si>
  <si>
    <t xml:space="preserve">Districts</t>
  </si>
  <si>
    <t xml:space="preserve">Demand</t>
  </si>
  <si>
    <t xml:space="preserve">Usable supply</t>
  </si>
  <si>
    <t xml:space="preserve">Final</t>
  </si>
  <si>
    <t xml:space="preserve">By sales region (shortlisted)</t>
  </si>
  <si>
    <t xml:space="preserve">Budget 4,000</t>
  </si>
  <si>
    <t xml:space="preserve">Budget 6,000</t>
  </si>
  <si>
    <t xml:space="preserve">Rollout by year (final plan)</t>
  </si>
  <si>
    <t xml:space="preserve">2025</t>
  </si>
  <si>
    <t xml:space="preserve">2026</t>
  </si>
  <si>
    <t xml:space="preserve">2027</t>
  </si>
  <si>
    <t xml:space="preserve">Total</t>
  </si>
  <si>
    <t xml:space="preserve">Budget scenarios</t>
  </si>
  <si>
    <t xml:space="preserve">Funded</t>
  </si>
  <si>
    <t xml:space="preserve">Allocated</t>
  </si>
  <si>
    <t xml:space="preserve">Budget scenario 1</t>
  </si>
  <si>
    <t xml:space="preserve">Budget scenario 2</t>
  </si>
  <si>
    <t xml:space="preserve">Macro Results</t>
  </si>
  <si>
    <t xml:space="preserve">Run the macro RunFootprintModel (vba/FootprintModel.bas) to fill this sheet. It adds outlets one at a time, replacing manual Goal Seek, and checks its answer against the Model sheet.</t>
  </si>
  <si>
    <t xml:space="preserve">Recommended new outlets (macro)</t>
  </si>
  <si>
    <t xml:space="preserve">Limiting factor (macro)</t>
  </si>
  <si>
    <t xml:space="preserve">Model sheet formula</t>
  </si>
  <si>
    <t xml:space="preserve">Match?</t>
  </si>
</sst>
</file>

<file path=xl/styles.xml><?xml version="1.0" encoding="utf-8"?>
<styleSheet xmlns="http://schemas.openxmlformats.org/spreadsheetml/2006/main">
  <numFmts count="11">
    <numFmt numFmtId="164" formatCode="General"/>
    <numFmt numFmtId="165" formatCode="0.0"/>
    <numFmt numFmtId="166" formatCode="#,##0"/>
    <numFmt numFmtId="167" formatCode="0"/>
    <numFmt numFmtId="168" formatCode="@"/>
    <numFmt numFmtId="169" formatCode="0%"/>
    <numFmt numFmtId="170" formatCode="0.0%"/>
    <numFmt numFmtId="171" formatCode="0.00"/>
    <numFmt numFmtId="172" formatCode="0.000"/>
    <numFmt numFmtId="173" formatCode="#,##0.0"/>
    <numFmt numFmtId="174" formatCode="0.00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C00000"/>
      <name val="Arial"/>
      <family val="0"/>
      <charset val="1"/>
    </font>
    <font>
      <b val="true"/>
      <sz val="11"/>
      <name val="Arial"/>
      <family val="0"/>
      <charset val="1"/>
    </font>
    <font>
      <sz val="11"/>
      <color rgb="FF000000"/>
      <name val="Arial"/>
      <family val="0"/>
      <charset val="1"/>
    </font>
    <font>
      <i val="true"/>
      <sz val="9"/>
      <color rgb="FF595959"/>
      <name val="Arial"/>
      <family val="0"/>
      <charset val="1"/>
    </font>
    <font>
      <b val="true"/>
      <sz val="11"/>
      <color rgb="FFFFFFFF"/>
      <name val="Arial"/>
      <family val="0"/>
      <charset val="1"/>
    </font>
    <font>
      <sz val="11"/>
      <color rgb="FF0000FF"/>
      <name val="Arial"/>
      <family val="0"/>
      <charset val="1"/>
    </font>
    <font>
      <sz val="11"/>
      <color theme="1"/>
      <name val="Arial"/>
      <family val="0"/>
      <charset val="1"/>
    </font>
    <font>
      <sz val="11"/>
      <color rgb="FF008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8" fontId="10" fillId="3"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xf numFmtId="171" fontId="10"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6E0B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0</v>
      </c>
    </row>
    <row r="2" customFormat="false" ht="45" hidden="false" customHeight="true" outlineLevel="0" collapsed="false">
      <c r="A2" s="2" t="s">
        <v>1</v>
      </c>
      <c r="B2" s="2"/>
    </row>
    <row r="4" customFormat="false" ht="26.85" hidden="false" customHeight="false" outlineLevel="0" collapsed="false">
      <c r="A4" s="3" t="s">
        <v>2</v>
      </c>
      <c r="B4" s="4" t="s">
        <v>3</v>
      </c>
    </row>
    <row r="5" customFormat="false" ht="26.85" hidden="false" customHeight="false" outlineLevel="0" collapsed="false">
      <c r="A5" s="3" t="s">
        <v>4</v>
      </c>
      <c r="B5" s="4" t="s">
        <v>5</v>
      </c>
    </row>
    <row r="6" customFormat="false" ht="39.5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c r="B8" s="4"/>
    </row>
    <row r="9" customFormat="false" ht="15" hidden="false" customHeight="false" outlineLevel="0" collapsed="false">
      <c r="A9" s="3" t="s">
        <v>10</v>
      </c>
      <c r="B9" s="4"/>
    </row>
    <row r="10" customFormat="false" ht="15" hidden="false" customHeight="false" outlineLevel="0" collapsed="false">
      <c r="A10" s="3" t="s">
        <v>11</v>
      </c>
      <c r="B10" s="4" t="s">
        <v>12</v>
      </c>
    </row>
    <row r="11" customFormat="false" ht="26.85" hidden="false" customHeight="false" outlineLevel="0" collapsed="false">
      <c r="A11" s="3" t="s">
        <v>13</v>
      </c>
      <c r="B11" s="4" t="s">
        <v>14</v>
      </c>
    </row>
    <row r="12" customFormat="false" ht="15" hidden="false" customHeight="false" outlineLevel="0" collapsed="false">
      <c r="A12" s="3" t="s">
        <v>15</v>
      </c>
      <c r="B12" s="4" t="s">
        <v>16</v>
      </c>
    </row>
    <row r="13" customFormat="false" ht="26.85" hidden="false" customHeight="false" outlineLevel="0" collapsed="false">
      <c r="A13" s="3" t="s">
        <v>17</v>
      </c>
      <c r="B13" s="4" t="s">
        <v>18</v>
      </c>
    </row>
    <row r="14" customFormat="false" ht="26.85" hidden="false" customHeight="false" outlineLevel="0" collapsed="false">
      <c r="A14" s="3" t="s">
        <v>19</v>
      </c>
      <c r="B14" s="4" t="s">
        <v>20</v>
      </c>
    </row>
    <row r="15" customFormat="false" ht="15" hidden="false" customHeight="false" outlineLevel="0" collapsed="false">
      <c r="A15" s="3" t="s">
        <v>21</v>
      </c>
      <c r="B15" s="4" t="s">
        <v>22</v>
      </c>
    </row>
    <row r="16" customFormat="false" ht="15" hidden="false" customHeight="false" outlineLevel="0" collapsed="false">
      <c r="A16" s="3" t="s">
        <v>23</v>
      </c>
      <c r="B16" s="4" t="s">
        <v>24</v>
      </c>
    </row>
    <row r="17" customFormat="false" ht="26.85" hidden="false" customHeight="false" outlineLevel="0" collapsed="false">
      <c r="A17" s="3" t="s">
        <v>25</v>
      </c>
      <c r="B17" s="4" t="s">
        <v>26</v>
      </c>
    </row>
    <row r="18" customFormat="false" ht="15" hidden="false" customHeight="false" outlineLevel="0" collapsed="false">
      <c r="A18" s="3" t="s">
        <v>27</v>
      </c>
      <c r="B18" s="4" t="s">
        <v>28</v>
      </c>
    </row>
    <row r="19" customFormat="false" ht="26.85" hidden="false" customHeight="false" outlineLevel="0" collapsed="false">
      <c r="A19" s="3" t="s">
        <v>29</v>
      </c>
      <c r="B19" s="4" t="s">
        <v>30</v>
      </c>
    </row>
    <row r="20" customFormat="false" ht="15" hidden="false" customHeight="false" outlineLevel="0" collapsed="false">
      <c r="A20" s="3" t="s">
        <v>31</v>
      </c>
      <c r="B20" s="4" t="s">
        <v>32</v>
      </c>
    </row>
    <row r="21" customFormat="false" ht="26.85" hidden="false" customHeight="false" outlineLevel="0" collapsed="false">
      <c r="A21" s="3" t="s">
        <v>33</v>
      </c>
      <c r="B21" s="4" t="s">
        <v>34</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35</v>
      </c>
    </row>
    <row r="2" customFormat="false" ht="15" hidden="false" customHeight="false" outlineLevel="0" collapsed="false">
      <c r="A2" s="5" t="s">
        <v>1</v>
      </c>
    </row>
    <row r="4" customFormat="false" ht="15" hidden="false" customHeight="false" outlineLevel="0" collapsed="false">
      <c r="A4" s="6" t="s">
        <v>36</v>
      </c>
      <c r="B4" s="6" t="s">
        <v>37</v>
      </c>
      <c r="C4" s="6" t="s">
        <v>38</v>
      </c>
    </row>
    <row r="5" customFormat="false" ht="15" hidden="false" customHeight="false" outlineLevel="0" collapsed="false">
      <c r="A5" s="7" t="s">
        <v>39</v>
      </c>
      <c r="B5" s="8" t="n">
        <v>15</v>
      </c>
      <c r="C5" s="5" t="s">
        <v>40</v>
      </c>
    </row>
    <row r="6" customFormat="false" ht="15" hidden="false" customHeight="false" outlineLevel="0" collapsed="false">
      <c r="A6" s="7" t="s">
        <v>41</v>
      </c>
      <c r="B6" s="9" t="n">
        <v>750</v>
      </c>
      <c r="C6" s="5" t="s">
        <v>42</v>
      </c>
    </row>
    <row r="7" customFormat="false" ht="15" hidden="false" customHeight="false" outlineLevel="0" collapsed="false">
      <c r="A7" s="7" t="s">
        <v>43</v>
      </c>
      <c r="B7" s="10" t="n">
        <v>52</v>
      </c>
      <c r="C7" s="5" t="s">
        <v>44</v>
      </c>
    </row>
    <row r="8" customFormat="false" ht="15" hidden="false" customHeight="false" outlineLevel="0" collapsed="false">
      <c r="A8" s="7" t="s">
        <v>45</v>
      </c>
      <c r="B8" s="10" t="n">
        <v>80</v>
      </c>
      <c r="C8" s="5" t="s">
        <v>46</v>
      </c>
    </row>
    <row r="9" customFormat="false" ht="15" hidden="false" customHeight="false" outlineLevel="0" collapsed="false">
      <c r="A9" s="7" t="s">
        <v>47</v>
      </c>
      <c r="B9" s="11" t="s">
        <v>48</v>
      </c>
      <c r="C9" s="5" t="s">
        <v>49</v>
      </c>
    </row>
    <row r="10" customFormat="false" ht="15" hidden="false" customHeight="false" outlineLevel="0" collapsed="false">
      <c r="A10" s="7" t="s">
        <v>50</v>
      </c>
      <c r="B10" s="12" t="n">
        <v>0.8</v>
      </c>
      <c r="C10" s="5" t="s">
        <v>51</v>
      </c>
    </row>
    <row r="11" customFormat="false" ht="15" hidden="false" customHeight="false" outlineLevel="0" collapsed="false">
      <c r="A11" s="7" t="s">
        <v>52</v>
      </c>
      <c r="B11" s="10" t="n">
        <v>50</v>
      </c>
      <c r="C11" s="5" t="s">
        <v>53</v>
      </c>
    </row>
    <row r="12" customFormat="false" ht="15" hidden="false" customHeight="false" outlineLevel="0" collapsed="false">
      <c r="A12" s="7" t="s">
        <v>54</v>
      </c>
      <c r="B12" s="9" t="n">
        <v>4000</v>
      </c>
      <c r="C12" s="5" t="s">
        <v>55</v>
      </c>
    </row>
    <row r="13" customFormat="false" ht="15" hidden="false" customHeight="false" outlineLevel="0" collapsed="false">
      <c r="A13" s="7" t="s">
        <v>56</v>
      </c>
      <c r="B13" s="9" t="n">
        <v>6000</v>
      </c>
      <c r="C13" s="5" t="s">
        <v>55</v>
      </c>
    </row>
    <row r="14" customFormat="false" ht="15" hidden="false" customHeight="false" outlineLevel="0" collapsed="false">
      <c r="A14" s="7" t="s">
        <v>57</v>
      </c>
      <c r="B14" s="13" t="n">
        <v>0.352941176470588</v>
      </c>
      <c r="C14" s="5" t="s">
        <v>58</v>
      </c>
    </row>
    <row r="15" customFormat="false" ht="15" hidden="false" customHeight="false" outlineLevel="0" collapsed="false">
      <c r="A15" s="7" t="s">
        <v>59</v>
      </c>
      <c r="B15" s="13" t="n">
        <v>0.352941176470588</v>
      </c>
      <c r="C15" s="5" t="s">
        <v>58</v>
      </c>
    </row>
    <row r="16" customFormat="false" ht="15" hidden="false" customHeight="false" outlineLevel="0" collapsed="false">
      <c r="A16" s="7" t="s">
        <v>60</v>
      </c>
      <c r="B16" s="13" t="n">
        <v>0.294117647058824</v>
      </c>
      <c r="C16" s="5" t="s">
        <v>58</v>
      </c>
    </row>
    <row r="17" customFormat="false" ht="15" hidden="false" customHeight="false" outlineLevel="0" collapsed="false">
      <c r="A17" s="7" t="s">
        <v>61</v>
      </c>
      <c r="B17" s="14" t="n">
        <v>1.2</v>
      </c>
      <c r="C17" s="5" t="s">
        <v>62</v>
      </c>
    </row>
    <row r="18" customFormat="false" ht="15" hidden="false" customHeight="false" outlineLevel="0" collapsed="false">
      <c r="A18" s="7" t="s">
        <v>63</v>
      </c>
      <c r="B18" s="14" t="n">
        <v>0.8</v>
      </c>
      <c r="C18" s="5" t="s">
        <v>62</v>
      </c>
    </row>
    <row r="19" customFormat="false" ht="15" hidden="false" customHeight="false" outlineLevel="0" collapsed="false">
      <c r="A19" s="7" t="s">
        <v>64</v>
      </c>
      <c r="B19" s="14" t="n">
        <v>0.45</v>
      </c>
      <c r="C19" s="5" t="s">
        <v>62</v>
      </c>
    </row>
    <row r="20" customFormat="false" ht="15" hidden="false" customHeight="false" outlineLevel="0" collapsed="false">
      <c r="A20" s="7" t="s">
        <v>65</v>
      </c>
      <c r="B20" s="14" t="n">
        <v>0.2</v>
      </c>
      <c r="C20" s="5" t="s">
        <v>62</v>
      </c>
    </row>
    <row r="21" customFormat="false" ht="15" hidden="false" customHeight="false" outlineLevel="0" collapsed="false">
      <c r="A21" s="7" t="s">
        <v>66</v>
      </c>
      <c r="B21" s="9" t="n">
        <v>50000</v>
      </c>
      <c r="C21" s="5" t="s">
        <v>67</v>
      </c>
    </row>
    <row r="22" customFormat="false" ht="15" hidden="false" customHeight="false" outlineLevel="0" collapsed="false">
      <c r="A22" s="7" t="s">
        <v>68</v>
      </c>
      <c r="B22" s="9" t="n">
        <v>15000</v>
      </c>
      <c r="C22" s="5" t="s">
        <v>67</v>
      </c>
    </row>
    <row r="23" customFormat="false" ht="15" hidden="false" customHeight="false" outlineLevel="0" collapsed="false">
      <c r="A23" s="7" t="s">
        <v>69</v>
      </c>
      <c r="B23" s="9" t="n">
        <v>3500</v>
      </c>
      <c r="C23" s="5" t="s">
        <v>67</v>
      </c>
    </row>
    <row r="24" customFormat="false" ht="15" hidden="false" customHeight="false" outlineLevel="0" collapsed="false">
      <c r="A24" s="7" t="s">
        <v>70</v>
      </c>
      <c r="B24" s="9" t="n">
        <v>1700</v>
      </c>
      <c r="C24" s="5" t="s">
        <v>67</v>
      </c>
    </row>
    <row r="26" customFormat="false" ht="15" hidden="false" customHeight="false" outlineLevel="0" collapsed="false">
      <c r="A26" s="3" t="s">
        <v>71</v>
      </c>
    </row>
    <row r="27" customFormat="false" ht="15" hidden="false" customHeight="false" outlineLevel="0" collapsed="false">
      <c r="A27" s="7" t="s">
        <v>72</v>
      </c>
      <c r="B27" s="15" t="n">
        <v>1</v>
      </c>
    </row>
    <row r="28" customFormat="false" ht="15" hidden="false" customHeight="false" outlineLevel="0" collapsed="false">
      <c r="A28" s="7" t="s">
        <v>73</v>
      </c>
      <c r="B28" s="15" t="n">
        <v>2</v>
      </c>
    </row>
    <row r="29" customFormat="false" ht="15" hidden="false" customHeight="false" outlineLevel="0" collapsed="false">
      <c r="A29" s="7" t="s">
        <v>74</v>
      </c>
      <c r="B29" s="15" t="n">
        <v>3</v>
      </c>
    </row>
    <row r="30" customFormat="false" ht="15" hidden="false" customHeight="false" outlineLevel="0" collapsed="false">
      <c r="A30" s="7" t="s">
        <v>75</v>
      </c>
      <c r="B30" s="15" t="n">
        <v>4</v>
      </c>
    </row>
  </sheetData>
  <dataValidations count="1">
    <dataValidation allowBlank="false" errorStyle="stop" operator="between" showDropDown="false" showErrorMessage="false" showInputMessage="false" sqref="B9" type="list">
      <formula1>"NI TP,District TP"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4"/>
    <col collapsed="false" customWidth="true" hidden="false" outlineLevel="0" max="4" min="4" style="0" width="16"/>
    <col collapsed="false" customWidth="true" hidden="false" outlineLevel="0" max="14" min="5" style="0" width="14"/>
    <col collapsed="false" customWidth="true" hidden="false" outlineLevel="0" max="15" min="15" style="0" width="20"/>
  </cols>
  <sheetData>
    <row r="1" customFormat="false" ht="17.35" hidden="false" customHeight="false" outlineLevel="0" collapsed="false">
      <c r="A1" s="1" t="s">
        <v>76</v>
      </c>
    </row>
    <row r="2" customFormat="false" ht="15" hidden="false" customHeight="false" outlineLevel="0" collapsed="false">
      <c r="A2" s="5" t="s">
        <v>1</v>
      </c>
    </row>
    <row r="4" customFormat="false" ht="45" hidden="false" customHeight="true" outlineLevel="0" collapsed="false">
      <c r="A4" s="16" t="s">
        <v>77</v>
      </c>
      <c r="B4" s="16" t="s">
        <v>78</v>
      </c>
      <c r="C4" s="16" t="s">
        <v>79</v>
      </c>
      <c r="D4" s="16" t="s">
        <v>80</v>
      </c>
      <c r="E4" s="16" t="s">
        <v>81</v>
      </c>
      <c r="F4" s="16" t="s">
        <v>82</v>
      </c>
      <c r="G4" s="16" t="s">
        <v>83</v>
      </c>
      <c r="H4" s="16" t="s">
        <v>84</v>
      </c>
      <c r="I4" s="16" t="s">
        <v>85</v>
      </c>
      <c r="J4" s="16" t="s">
        <v>86</v>
      </c>
      <c r="K4" s="16" t="s">
        <v>87</v>
      </c>
      <c r="L4" s="16" t="s">
        <v>88</v>
      </c>
      <c r="M4" s="16" t="s">
        <v>89</v>
      </c>
      <c r="N4" s="16" t="s">
        <v>90</v>
      </c>
      <c r="O4" s="16" t="s">
        <v>91</v>
      </c>
    </row>
    <row r="5" customFormat="false" ht="15" hidden="false" customHeight="false" outlineLevel="0" collapsed="false">
      <c r="A5" s="17" t="s">
        <v>92</v>
      </c>
      <c r="B5" s="17" t="s">
        <v>93</v>
      </c>
      <c r="C5" s="17" t="s">
        <v>94</v>
      </c>
      <c r="D5" s="17" t="s">
        <v>72</v>
      </c>
      <c r="E5" s="18" t="n">
        <v>1433930</v>
      </c>
      <c r="F5" s="19" t="n">
        <v>0.263</v>
      </c>
      <c r="G5" s="18" t="n">
        <v>73</v>
      </c>
      <c r="H5" s="18" t="n">
        <v>83</v>
      </c>
      <c r="I5" s="18" t="n">
        <v>92</v>
      </c>
      <c r="J5" s="18" t="n">
        <v>68046.3</v>
      </c>
      <c r="K5" s="18" t="n">
        <v>69542.7</v>
      </c>
      <c r="L5" s="18" t="n">
        <v>73950</v>
      </c>
      <c r="M5" s="18" t="n">
        <v>11</v>
      </c>
      <c r="N5" s="18" t="n">
        <v>3998.4</v>
      </c>
      <c r="O5" s="18" t="n">
        <v>31</v>
      </c>
    </row>
    <row r="6" customFormat="false" ht="15" hidden="false" customHeight="false" outlineLevel="0" collapsed="false">
      <c r="A6" s="17" t="s">
        <v>95</v>
      </c>
      <c r="B6" s="17" t="s">
        <v>96</v>
      </c>
      <c r="C6" s="17" t="s">
        <v>94</v>
      </c>
      <c r="D6" s="17" t="s">
        <v>72</v>
      </c>
      <c r="E6" s="18" t="n">
        <v>2221754</v>
      </c>
      <c r="F6" s="19" t="n">
        <v>0.26</v>
      </c>
      <c r="G6" s="18" t="n">
        <v>95</v>
      </c>
      <c r="H6" s="18" t="n">
        <v>102</v>
      </c>
      <c r="I6" s="18" t="n">
        <v>111</v>
      </c>
      <c r="J6" s="18" t="n">
        <v>90393.5</v>
      </c>
      <c r="K6" s="18" t="n">
        <v>93093.3</v>
      </c>
      <c r="L6" s="18" t="n">
        <v>96099.2</v>
      </c>
      <c r="M6" s="18" t="n">
        <v>16</v>
      </c>
      <c r="N6" s="18" t="n">
        <v>7956.8</v>
      </c>
      <c r="O6" s="18" t="n">
        <v>52</v>
      </c>
    </row>
    <row r="7" customFormat="false" ht="15" hidden="false" customHeight="false" outlineLevel="0" collapsed="false">
      <c r="A7" s="17" t="s">
        <v>97</v>
      </c>
      <c r="B7" s="17" t="s">
        <v>98</v>
      </c>
      <c r="C7" s="17" t="s">
        <v>99</v>
      </c>
      <c r="D7" s="17" t="s">
        <v>75</v>
      </c>
      <c r="E7" s="18" t="n">
        <v>190805</v>
      </c>
      <c r="F7" s="19" t="n">
        <v>0.288</v>
      </c>
      <c r="G7" s="18" t="n">
        <v>4</v>
      </c>
      <c r="H7" s="18" t="n">
        <v>5</v>
      </c>
      <c r="I7" s="18" t="n">
        <v>6</v>
      </c>
      <c r="J7" s="18" t="n">
        <v>2925.9</v>
      </c>
      <c r="K7" s="18" t="n">
        <v>3270.7</v>
      </c>
      <c r="L7" s="18" t="n">
        <v>3475.4</v>
      </c>
      <c r="M7" s="18" t="n">
        <v>2</v>
      </c>
      <c r="N7" s="18" t="n">
        <v>597.1</v>
      </c>
      <c r="O7" s="18" t="n">
        <v>5</v>
      </c>
    </row>
    <row r="8" customFormat="false" ht="15" hidden="false" customHeight="false" outlineLevel="0" collapsed="false">
      <c r="A8" s="17" t="s">
        <v>100</v>
      </c>
      <c r="B8" s="17" t="s">
        <v>101</v>
      </c>
      <c r="C8" s="17" t="s">
        <v>99</v>
      </c>
      <c r="D8" s="17" t="s">
        <v>73</v>
      </c>
      <c r="E8" s="18" t="n">
        <v>1971828</v>
      </c>
      <c r="F8" s="19" t="n">
        <v>0.237</v>
      </c>
      <c r="G8" s="18" t="n">
        <v>90</v>
      </c>
      <c r="H8" s="18" t="n">
        <v>102</v>
      </c>
      <c r="I8" s="18" t="n">
        <v>110</v>
      </c>
      <c r="J8" s="18" t="n">
        <v>75712.6</v>
      </c>
      <c r="K8" s="18" t="n">
        <v>79376</v>
      </c>
      <c r="L8" s="18" t="n">
        <v>88179.1</v>
      </c>
      <c r="M8" s="18" t="n">
        <v>11</v>
      </c>
      <c r="N8" s="18" t="n">
        <v>3682.7</v>
      </c>
      <c r="O8" s="18" t="n">
        <v>62</v>
      </c>
    </row>
    <row r="9" customFormat="false" ht="15" hidden="false" customHeight="false" outlineLevel="0" collapsed="false">
      <c r="A9" s="17" t="s">
        <v>102</v>
      </c>
      <c r="B9" s="17" t="s">
        <v>96</v>
      </c>
      <c r="C9" s="17" t="s">
        <v>103</v>
      </c>
      <c r="D9" s="17" t="s">
        <v>74</v>
      </c>
      <c r="E9" s="18" t="n">
        <v>3656391</v>
      </c>
      <c r="F9" s="19" t="n">
        <v>0.25</v>
      </c>
      <c r="G9" s="18" t="n">
        <v>125</v>
      </c>
      <c r="H9" s="18" t="n">
        <v>140</v>
      </c>
      <c r="I9" s="18" t="n">
        <v>146</v>
      </c>
      <c r="J9" s="18" t="n">
        <v>103225.7</v>
      </c>
      <c r="K9" s="18" t="n">
        <v>108639</v>
      </c>
      <c r="L9" s="18" t="n">
        <v>107197.5</v>
      </c>
      <c r="M9" s="18" t="n">
        <v>11</v>
      </c>
      <c r="N9" s="18" t="n">
        <v>4583.2</v>
      </c>
      <c r="O9" s="18" t="n">
        <v>59</v>
      </c>
    </row>
    <row r="10" customFormat="false" ht="15" hidden="false" customHeight="false" outlineLevel="0" collapsed="false">
      <c r="A10" s="17" t="s">
        <v>104</v>
      </c>
      <c r="B10" s="17" t="s">
        <v>96</v>
      </c>
      <c r="C10" s="17" t="s">
        <v>103</v>
      </c>
      <c r="D10" s="17" t="s">
        <v>73</v>
      </c>
      <c r="E10" s="18" t="n">
        <v>4397187</v>
      </c>
      <c r="F10" s="19" t="n">
        <v>0.375</v>
      </c>
      <c r="G10" s="18" t="n">
        <v>278</v>
      </c>
      <c r="H10" s="18" t="n">
        <v>284</v>
      </c>
      <c r="I10" s="18" t="n">
        <v>309</v>
      </c>
      <c r="J10" s="18" t="n">
        <v>185061.4</v>
      </c>
      <c r="K10" s="18" t="n">
        <v>187443.6</v>
      </c>
      <c r="L10" s="18" t="n">
        <v>191928.8</v>
      </c>
      <c r="M10" s="18" t="n">
        <v>35</v>
      </c>
      <c r="N10" s="18" t="n">
        <v>11835.4</v>
      </c>
      <c r="O10" s="18" t="n">
        <v>92</v>
      </c>
    </row>
    <row r="11" customFormat="false" ht="15" hidden="false" customHeight="false" outlineLevel="0" collapsed="false">
      <c r="A11" s="17" t="s">
        <v>105</v>
      </c>
      <c r="B11" s="17" t="s">
        <v>93</v>
      </c>
      <c r="C11" s="17" t="s">
        <v>106</v>
      </c>
      <c r="D11" s="17" t="s">
        <v>75</v>
      </c>
      <c r="E11" s="18" t="n">
        <v>1324087</v>
      </c>
      <c r="F11" s="19" t="n">
        <v>0.116</v>
      </c>
      <c r="G11" s="18" t="n">
        <v>13</v>
      </c>
      <c r="H11" s="18" t="n">
        <v>13</v>
      </c>
      <c r="I11" s="18" t="n">
        <v>17</v>
      </c>
      <c r="J11" s="18" t="n">
        <v>11250.9</v>
      </c>
      <c r="K11" s="18" t="n">
        <v>11906</v>
      </c>
      <c r="L11" s="18" t="n">
        <v>15684.7</v>
      </c>
      <c r="M11" s="18" t="n">
        <v>5</v>
      </c>
      <c r="N11" s="18" t="n">
        <v>5191.2</v>
      </c>
      <c r="O11" s="18" t="n">
        <v>6</v>
      </c>
    </row>
    <row r="12" customFormat="false" ht="15" hidden="false" customHeight="false" outlineLevel="0" collapsed="false">
      <c r="A12" s="17" t="s">
        <v>107</v>
      </c>
      <c r="B12" s="17" t="s">
        <v>93</v>
      </c>
      <c r="C12" s="17" t="s">
        <v>106</v>
      </c>
      <c r="D12" s="17" t="s">
        <v>75</v>
      </c>
      <c r="E12" s="18" t="n">
        <v>1384206</v>
      </c>
      <c r="F12" s="19" t="n">
        <v>0.112</v>
      </c>
      <c r="G12" s="18" t="n">
        <v>14</v>
      </c>
      <c r="H12" s="18" t="n">
        <v>15</v>
      </c>
      <c r="I12" s="18" t="n">
        <v>15</v>
      </c>
      <c r="J12" s="18" t="n">
        <v>10422.9</v>
      </c>
      <c r="K12" s="18" t="n">
        <v>10923.5</v>
      </c>
      <c r="L12" s="18" t="n">
        <v>9416.3</v>
      </c>
      <c r="M12" s="18" t="n">
        <v>1</v>
      </c>
      <c r="N12" s="18" t="n">
        <v>296.4</v>
      </c>
      <c r="O12" s="18" t="n">
        <v>13</v>
      </c>
    </row>
    <row r="13" customFormat="false" ht="15" hidden="false" customHeight="false" outlineLevel="0" collapsed="false">
      <c r="A13" s="17" t="s">
        <v>108</v>
      </c>
      <c r="B13" s="17" t="s">
        <v>98</v>
      </c>
      <c r="C13" s="17" t="s">
        <v>103</v>
      </c>
      <c r="D13" s="17" t="s">
        <v>75</v>
      </c>
      <c r="E13" s="18" t="n">
        <v>217610</v>
      </c>
      <c r="F13" s="19" t="n">
        <v>0.102</v>
      </c>
      <c r="G13" s="18" t="n">
        <v>2</v>
      </c>
      <c r="H13" s="18" t="n">
        <v>2</v>
      </c>
      <c r="I13" s="18" t="n">
        <v>2</v>
      </c>
      <c r="J13" s="18" t="n">
        <v>1411.2</v>
      </c>
      <c r="K13" s="18" t="n">
        <v>1354.7</v>
      </c>
      <c r="L13" s="18" t="n">
        <v>1300.4</v>
      </c>
      <c r="M13" s="18" t="n">
        <v>0</v>
      </c>
      <c r="N13" s="18" t="n">
        <v>0</v>
      </c>
      <c r="O13" s="18" t="n">
        <v>2</v>
      </c>
    </row>
    <row r="14" customFormat="false" ht="15" hidden="false" customHeight="false" outlineLevel="0" collapsed="false">
      <c r="A14" s="17" t="s">
        <v>109</v>
      </c>
      <c r="B14" s="17" t="s">
        <v>93</v>
      </c>
      <c r="C14" s="17" t="s">
        <v>94</v>
      </c>
      <c r="D14" s="17" t="s">
        <v>75</v>
      </c>
      <c r="E14" s="18" t="n">
        <v>568202</v>
      </c>
      <c r="F14" s="19" t="n">
        <v>0.139</v>
      </c>
      <c r="G14" s="18" t="n">
        <v>8</v>
      </c>
      <c r="H14" s="18" t="n">
        <v>9</v>
      </c>
      <c r="I14" s="18" t="n">
        <v>11</v>
      </c>
      <c r="J14" s="18" t="n">
        <v>5637.5</v>
      </c>
      <c r="K14" s="18" t="n">
        <v>5648.3</v>
      </c>
      <c r="L14" s="18" t="n">
        <v>6229.2</v>
      </c>
      <c r="M14" s="18" t="n">
        <v>2</v>
      </c>
      <c r="N14" s="18" t="n">
        <v>479.5</v>
      </c>
      <c r="O14" s="18" t="n">
        <v>3</v>
      </c>
    </row>
    <row r="15" customFormat="false" ht="15" hidden="false" customHeight="false" outlineLevel="0" collapsed="false">
      <c r="A15" s="17" t="s">
        <v>110</v>
      </c>
      <c r="B15" s="17" t="s">
        <v>96</v>
      </c>
      <c r="C15" s="17" t="s">
        <v>103</v>
      </c>
      <c r="D15" s="17" t="s">
        <v>73</v>
      </c>
      <c r="E15" s="18" t="n">
        <v>2014452</v>
      </c>
      <c r="F15" s="19" t="n">
        <v>0.21</v>
      </c>
      <c r="G15" s="18" t="n">
        <v>32</v>
      </c>
      <c r="H15" s="18" t="n">
        <v>37</v>
      </c>
      <c r="I15" s="18" t="n">
        <v>38</v>
      </c>
      <c r="J15" s="18" t="n">
        <v>30377.2</v>
      </c>
      <c r="K15" s="18" t="n">
        <v>33087.5</v>
      </c>
      <c r="L15" s="18" t="n">
        <v>33995.5</v>
      </c>
      <c r="M15" s="18" t="n">
        <v>4</v>
      </c>
      <c r="N15" s="18" t="n">
        <v>3140.7</v>
      </c>
      <c r="O15" s="18" t="n">
        <v>66</v>
      </c>
    </row>
    <row r="16" customFormat="false" ht="15" hidden="false" customHeight="false" outlineLevel="0" collapsed="false">
      <c r="A16" s="17" t="s">
        <v>111</v>
      </c>
      <c r="B16" s="17" t="s">
        <v>93</v>
      </c>
      <c r="C16" s="17" t="s">
        <v>106</v>
      </c>
      <c r="D16" s="17" t="s">
        <v>73</v>
      </c>
      <c r="E16" s="18" t="n">
        <v>1038650</v>
      </c>
      <c r="F16" s="19" t="n">
        <v>0.08</v>
      </c>
      <c r="G16" s="18" t="n">
        <v>7</v>
      </c>
      <c r="H16" s="18" t="n">
        <v>7</v>
      </c>
      <c r="I16" s="18" t="n">
        <v>7</v>
      </c>
      <c r="J16" s="18" t="n">
        <v>5150.6</v>
      </c>
      <c r="K16" s="18" t="n">
        <v>4514.1</v>
      </c>
      <c r="L16" s="18" t="n">
        <v>4501.2</v>
      </c>
      <c r="M16" s="18" t="n">
        <v>0</v>
      </c>
      <c r="N16" s="18" t="n">
        <v>0</v>
      </c>
      <c r="O16" s="18" t="n">
        <v>6</v>
      </c>
    </row>
    <row r="17" customFormat="false" ht="15" hidden="false" customHeight="false" outlineLevel="0" collapsed="false">
      <c r="A17" s="17" t="s">
        <v>112</v>
      </c>
      <c r="B17" s="17" t="s">
        <v>98</v>
      </c>
      <c r="C17" s="17" t="s">
        <v>99</v>
      </c>
      <c r="D17" s="17" t="s">
        <v>75</v>
      </c>
      <c r="E17" s="18" t="n">
        <v>277050</v>
      </c>
      <c r="F17" s="19" t="n">
        <v>0.167</v>
      </c>
      <c r="G17" s="18" t="n">
        <v>0</v>
      </c>
      <c r="H17" s="18" t="n">
        <v>0</v>
      </c>
      <c r="I17" s="18" t="n">
        <v>0</v>
      </c>
      <c r="J17" s="18" t="n">
        <v>0</v>
      </c>
      <c r="K17" s="18" t="n">
        <v>0</v>
      </c>
      <c r="L17" s="18" t="n">
        <v>0</v>
      </c>
      <c r="M17" s="18" t="n">
        <v>0</v>
      </c>
      <c r="N17" s="18" t="n">
        <v>0</v>
      </c>
      <c r="O17" s="18" t="n">
        <v>5</v>
      </c>
    </row>
    <row r="18" customFormat="false" ht="15" hidden="false" customHeight="false" outlineLevel="0" collapsed="false">
      <c r="A18" s="17" t="s">
        <v>113</v>
      </c>
      <c r="B18" s="17" t="s">
        <v>96</v>
      </c>
      <c r="C18" s="17" t="s">
        <v>94</v>
      </c>
      <c r="D18" s="17" t="s">
        <v>73</v>
      </c>
      <c r="E18" s="18" t="n">
        <v>1778329</v>
      </c>
      <c r="F18" s="19" t="n">
        <v>0.287</v>
      </c>
      <c r="G18" s="18" t="n">
        <v>91</v>
      </c>
      <c r="H18" s="18" t="n">
        <v>96</v>
      </c>
      <c r="I18" s="18" t="n">
        <v>107</v>
      </c>
      <c r="J18" s="18" t="n">
        <v>99511.5</v>
      </c>
      <c r="K18" s="18" t="n">
        <v>99942.7</v>
      </c>
      <c r="L18" s="18" t="n">
        <v>103885.7</v>
      </c>
      <c r="M18" s="18" t="n">
        <v>15</v>
      </c>
      <c r="N18" s="18" t="n">
        <v>9683.8</v>
      </c>
      <c r="O18" s="18" t="n">
        <v>97</v>
      </c>
    </row>
    <row r="19" customFormat="false" ht="15" hidden="false" customHeight="false" outlineLevel="0" collapsed="false">
      <c r="A19" s="17" t="s">
        <v>114</v>
      </c>
      <c r="B19" s="17" t="s">
        <v>93</v>
      </c>
      <c r="C19" s="17" t="s">
        <v>106</v>
      </c>
      <c r="D19" s="17" t="s">
        <v>72</v>
      </c>
      <c r="E19" s="18" t="n">
        <v>1875867</v>
      </c>
      <c r="F19" s="19" t="n">
        <v>0.306</v>
      </c>
      <c r="G19" s="18" t="n">
        <v>175</v>
      </c>
      <c r="H19" s="18" t="n">
        <v>188</v>
      </c>
      <c r="I19" s="18" t="n">
        <v>201</v>
      </c>
      <c r="J19" s="18" t="n">
        <v>131251.4</v>
      </c>
      <c r="K19" s="18" t="n">
        <v>137922.7</v>
      </c>
      <c r="L19" s="18" t="n">
        <v>132968.5</v>
      </c>
      <c r="M19" s="18" t="n">
        <v>24</v>
      </c>
      <c r="N19" s="18" t="n">
        <v>5347.2</v>
      </c>
      <c r="O19" s="18" t="n">
        <v>71</v>
      </c>
    </row>
    <row r="20" customFormat="false" ht="15" hidden="false" customHeight="false" outlineLevel="0" collapsed="false">
      <c r="A20" s="17" t="s">
        <v>115</v>
      </c>
      <c r="B20" s="17" t="s">
        <v>93</v>
      </c>
      <c r="C20" s="17" t="s">
        <v>106</v>
      </c>
      <c r="D20" s="17" t="s">
        <v>75</v>
      </c>
      <c r="E20" s="18" t="n">
        <v>528292</v>
      </c>
      <c r="F20" s="19" t="n">
        <v>0.184</v>
      </c>
      <c r="G20" s="18" t="n">
        <v>7</v>
      </c>
      <c r="H20" s="18" t="n">
        <v>7</v>
      </c>
      <c r="I20" s="18" t="n">
        <v>7</v>
      </c>
      <c r="J20" s="18" t="n">
        <v>3358.4</v>
      </c>
      <c r="K20" s="18" t="n">
        <v>3382.3</v>
      </c>
      <c r="L20" s="18" t="n">
        <v>3184.2</v>
      </c>
      <c r="M20" s="18" t="n">
        <v>0</v>
      </c>
      <c r="N20" s="18" t="n">
        <v>0</v>
      </c>
      <c r="O20" s="18" t="n">
        <v>7</v>
      </c>
    </row>
    <row r="21" customFormat="false" ht="15" hidden="false" customHeight="false" outlineLevel="0" collapsed="false">
      <c r="A21" s="17" t="s">
        <v>116</v>
      </c>
      <c r="B21" s="17" t="s">
        <v>101</v>
      </c>
      <c r="C21" s="17" t="s">
        <v>99</v>
      </c>
      <c r="D21" s="17" t="s">
        <v>73</v>
      </c>
      <c r="E21" s="18" t="n">
        <v>1776539</v>
      </c>
      <c r="F21" s="19" t="n">
        <v>0.255</v>
      </c>
      <c r="G21" s="18" t="n">
        <v>69</v>
      </c>
      <c r="H21" s="18" t="n">
        <v>71</v>
      </c>
      <c r="I21" s="18" t="n">
        <v>76</v>
      </c>
      <c r="J21" s="18" t="n">
        <v>53422.5</v>
      </c>
      <c r="K21" s="18" t="n">
        <v>53437.4</v>
      </c>
      <c r="L21" s="18" t="n">
        <v>52387.9</v>
      </c>
      <c r="M21" s="18" t="n">
        <v>8</v>
      </c>
      <c r="N21" s="18" t="n">
        <v>4060</v>
      </c>
      <c r="O21" s="18" t="n">
        <v>32</v>
      </c>
    </row>
    <row r="22" customFormat="false" ht="15" hidden="false" customHeight="false" outlineLevel="0" collapsed="false">
      <c r="A22" s="17" t="s">
        <v>117</v>
      </c>
      <c r="B22" s="17" t="s">
        <v>98</v>
      </c>
      <c r="C22" s="17" t="s">
        <v>103</v>
      </c>
      <c r="D22" s="17" t="s">
        <v>75</v>
      </c>
      <c r="E22" s="18" t="n">
        <v>362834</v>
      </c>
      <c r="F22" s="19" t="n">
        <v>0.31</v>
      </c>
      <c r="G22" s="18" t="n">
        <v>6</v>
      </c>
      <c r="H22" s="18" t="n">
        <v>7</v>
      </c>
      <c r="I22" s="18" t="n">
        <v>7</v>
      </c>
      <c r="J22" s="18" t="n">
        <v>4896.4</v>
      </c>
      <c r="K22" s="18" t="n">
        <v>5867.4</v>
      </c>
      <c r="L22" s="18" t="n">
        <v>5933.1</v>
      </c>
      <c r="M22" s="18" t="n">
        <v>1</v>
      </c>
      <c r="N22" s="18" t="n">
        <v>585.1</v>
      </c>
      <c r="O22" s="18" t="n">
        <v>15</v>
      </c>
    </row>
    <row r="23" customFormat="false" ht="15" hidden="false" customHeight="false" outlineLevel="0" collapsed="false">
      <c r="A23" s="17" t="s">
        <v>118</v>
      </c>
      <c r="B23" s="17" t="s">
        <v>96</v>
      </c>
      <c r="C23" s="17" t="s">
        <v>103</v>
      </c>
      <c r="D23" s="17" t="s">
        <v>73</v>
      </c>
      <c r="E23" s="18" t="n">
        <v>3489306</v>
      </c>
      <c r="F23" s="19" t="n">
        <v>0.316</v>
      </c>
      <c r="G23" s="18" t="n">
        <v>219</v>
      </c>
      <c r="H23" s="18" t="n">
        <v>244</v>
      </c>
      <c r="I23" s="18" t="n">
        <v>272</v>
      </c>
      <c r="J23" s="18" t="n">
        <v>168186.9</v>
      </c>
      <c r="K23" s="18" t="n">
        <v>175601.3</v>
      </c>
      <c r="L23" s="18" t="n">
        <v>181948</v>
      </c>
      <c r="M23" s="18" t="n">
        <v>33</v>
      </c>
      <c r="N23" s="18" t="n">
        <v>14873.5</v>
      </c>
      <c r="O23" s="18" t="n">
        <v>83</v>
      </c>
    </row>
    <row r="24" customFormat="false" ht="15" hidden="false" customHeight="false" outlineLevel="0" collapsed="false">
      <c r="A24" s="17" t="s">
        <v>119</v>
      </c>
      <c r="B24" s="17" t="s">
        <v>93</v>
      </c>
      <c r="C24" s="17" t="s">
        <v>103</v>
      </c>
      <c r="D24" s="17" t="s">
        <v>75</v>
      </c>
      <c r="E24" s="18" t="n">
        <v>1853562</v>
      </c>
      <c r="F24" s="19" t="n">
        <v>0.25</v>
      </c>
      <c r="G24" s="18" t="n">
        <v>68</v>
      </c>
      <c r="H24" s="18" t="n">
        <v>73</v>
      </c>
      <c r="I24" s="18" t="n">
        <v>78</v>
      </c>
      <c r="J24" s="18" t="n">
        <v>54757</v>
      </c>
      <c r="K24" s="18" t="n">
        <v>59178.2</v>
      </c>
      <c r="L24" s="18" t="n">
        <v>64321.5</v>
      </c>
      <c r="M24" s="18" t="n">
        <v>8</v>
      </c>
      <c r="N24" s="18" t="n">
        <v>6277.7</v>
      </c>
      <c r="O24" s="18" t="n">
        <v>74</v>
      </c>
    </row>
    <row r="25" customFormat="false" ht="15" hidden="false" customHeight="false" outlineLevel="0" collapsed="false">
      <c r="A25" s="17" t="s">
        <v>120</v>
      </c>
      <c r="B25" s="17" t="s">
        <v>96</v>
      </c>
      <c r="C25" s="17" t="s">
        <v>121</v>
      </c>
      <c r="D25" s="17" t="s">
        <v>72</v>
      </c>
      <c r="E25" s="18" t="n">
        <v>9291551</v>
      </c>
      <c r="F25" s="19" t="n">
        <v>0.408</v>
      </c>
      <c r="G25" s="18" t="n">
        <v>1818</v>
      </c>
      <c r="H25" s="18" t="n">
        <v>1966</v>
      </c>
      <c r="I25" s="18" t="n">
        <v>2113</v>
      </c>
      <c r="J25" s="18" t="n">
        <v>2429996.8</v>
      </c>
      <c r="K25" s="18" t="n">
        <v>2562333.9</v>
      </c>
      <c r="L25" s="18" t="n">
        <v>2648083.1</v>
      </c>
      <c r="M25" s="18" t="n">
        <v>231</v>
      </c>
      <c r="N25" s="18" t="n">
        <v>182197.8</v>
      </c>
      <c r="O25" s="18" t="n">
        <v>501</v>
      </c>
    </row>
    <row r="26" customFormat="false" ht="15" hidden="false" customHeight="false" outlineLevel="0" collapsed="false">
      <c r="A26" s="17" t="s">
        <v>122</v>
      </c>
      <c r="B26" s="17" t="s">
        <v>101</v>
      </c>
      <c r="C26" s="17" t="s">
        <v>103</v>
      </c>
      <c r="D26" s="17" t="s">
        <v>75</v>
      </c>
      <c r="E26" s="18" t="n">
        <v>1794146</v>
      </c>
      <c r="F26" s="19" t="n">
        <v>0.264</v>
      </c>
      <c r="G26" s="18" t="n">
        <v>23</v>
      </c>
      <c r="H26" s="18" t="n">
        <v>25</v>
      </c>
      <c r="I26" s="18" t="n">
        <v>28</v>
      </c>
      <c r="J26" s="18" t="n">
        <v>17733.7</v>
      </c>
      <c r="K26" s="18" t="n">
        <v>18134.5</v>
      </c>
      <c r="L26" s="18" t="n">
        <v>18393</v>
      </c>
      <c r="M26" s="18" t="n">
        <v>4</v>
      </c>
      <c r="N26" s="18" t="n">
        <v>1946.2</v>
      </c>
      <c r="O26" s="18" t="n">
        <v>32</v>
      </c>
    </row>
    <row r="27" customFormat="false" ht="15" hidden="false" customHeight="false" outlineLevel="0" collapsed="false">
      <c r="A27" s="17" t="s">
        <v>123</v>
      </c>
      <c r="B27" s="17" t="s">
        <v>96</v>
      </c>
      <c r="C27" s="17" t="s">
        <v>121</v>
      </c>
      <c r="D27" s="17" t="s">
        <v>72</v>
      </c>
      <c r="E27" s="18" t="n">
        <v>6134490</v>
      </c>
      <c r="F27" s="19" t="n">
        <v>0.477</v>
      </c>
      <c r="G27" s="18" t="n">
        <v>2358</v>
      </c>
      <c r="H27" s="18" t="n">
        <v>2523</v>
      </c>
      <c r="I27" s="18" t="n">
        <v>2722</v>
      </c>
      <c r="J27" s="18" t="n">
        <v>3114447.2</v>
      </c>
      <c r="K27" s="18" t="n">
        <v>3172589.1</v>
      </c>
      <c r="L27" s="18" t="n">
        <v>3231103.3</v>
      </c>
      <c r="M27" s="18" t="n">
        <v>309</v>
      </c>
      <c r="N27" s="18" t="n">
        <v>235020.1</v>
      </c>
      <c r="O27" s="18" t="n">
        <v>580</v>
      </c>
    </row>
    <row r="28" customFormat="false" ht="15" hidden="false" customHeight="false" outlineLevel="0" collapsed="false">
      <c r="A28" s="17" t="s">
        <v>124</v>
      </c>
      <c r="B28" s="17" t="s">
        <v>96</v>
      </c>
      <c r="C28" s="17" t="s">
        <v>121</v>
      </c>
      <c r="D28" s="17" t="s">
        <v>72</v>
      </c>
      <c r="E28" s="18" t="n">
        <v>3303787</v>
      </c>
      <c r="F28" s="19" t="n">
        <v>0.388</v>
      </c>
      <c r="G28" s="18" t="n">
        <v>543</v>
      </c>
      <c r="H28" s="18" t="n">
        <v>593</v>
      </c>
      <c r="I28" s="18" t="n">
        <v>655</v>
      </c>
      <c r="J28" s="18" t="n">
        <v>626033.1</v>
      </c>
      <c r="K28" s="18" t="n">
        <v>636878.1</v>
      </c>
      <c r="L28" s="18" t="n">
        <v>649361.1</v>
      </c>
      <c r="M28" s="18" t="n">
        <v>85</v>
      </c>
      <c r="N28" s="18" t="n">
        <v>63432.1</v>
      </c>
      <c r="O28" s="18" t="n">
        <v>75</v>
      </c>
    </row>
    <row r="29" customFormat="false" ht="15" hidden="false" customHeight="false" outlineLevel="0" collapsed="false">
      <c r="A29" s="17" t="s">
        <v>125</v>
      </c>
      <c r="B29" s="17" t="s">
        <v>98</v>
      </c>
      <c r="C29" s="17" t="s">
        <v>99</v>
      </c>
      <c r="D29" s="17" t="s">
        <v>75</v>
      </c>
      <c r="E29" s="18" t="n">
        <v>312966</v>
      </c>
      <c r="F29" s="19" t="n">
        <v>0.435</v>
      </c>
      <c r="G29" s="18" t="n">
        <v>5</v>
      </c>
      <c r="H29" s="18" t="n">
        <v>6</v>
      </c>
      <c r="I29" s="18" t="n">
        <v>8</v>
      </c>
      <c r="J29" s="18" t="n">
        <v>3003.1</v>
      </c>
      <c r="K29" s="18" t="n">
        <v>3590.4</v>
      </c>
      <c r="L29" s="18" t="n">
        <v>4363.3</v>
      </c>
      <c r="M29" s="18" t="n">
        <v>2</v>
      </c>
      <c r="N29" s="18" t="n">
        <v>696.4</v>
      </c>
      <c r="O29" s="18" t="n">
        <v>20</v>
      </c>
    </row>
    <row r="30" customFormat="false" ht="15" hidden="false" customHeight="false" outlineLevel="0" collapsed="false">
      <c r="A30" s="17" t="s">
        <v>126</v>
      </c>
      <c r="B30" s="17" t="s">
        <v>96</v>
      </c>
      <c r="C30" s="17" t="s">
        <v>121</v>
      </c>
      <c r="D30" s="17" t="s">
        <v>72</v>
      </c>
      <c r="E30" s="18" t="n">
        <v>1349211</v>
      </c>
      <c r="F30" s="19" t="n">
        <v>0.381</v>
      </c>
      <c r="G30" s="18" t="n">
        <v>103</v>
      </c>
      <c r="H30" s="18" t="n">
        <v>108</v>
      </c>
      <c r="I30" s="18" t="n">
        <v>124</v>
      </c>
      <c r="J30" s="18" t="n">
        <v>73298.3</v>
      </c>
      <c r="K30" s="18" t="n">
        <v>75231.1</v>
      </c>
      <c r="L30" s="18" t="n">
        <v>83603.7</v>
      </c>
      <c r="M30" s="18" t="n">
        <v>19</v>
      </c>
      <c r="N30" s="18" t="n">
        <v>9817.3</v>
      </c>
      <c r="O30" s="18" t="n">
        <v>27</v>
      </c>
    </row>
    <row r="31" customFormat="false" ht="15" hidden="false" customHeight="false" outlineLevel="0" collapsed="false">
      <c r="A31" s="17" t="s">
        <v>127</v>
      </c>
      <c r="B31" s="17" t="s">
        <v>93</v>
      </c>
      <c r="C31" s="17" t="s">
        <v>106</v>
      </c>
      <c r="D31" s="17" t="s">
        <v>75</v>
      </c>
      <c r="E31" s="18" t="n">
        <v>530605</v>
      </c>
      <c r="F31" s="19" t="n">
        <v>0.235</v>
      </c>
      <c r="G31" s="18" t="n">
        <v>25</v>
      </c>
      <c r="H31" s="18" t="n">
        <v>25</v>
      </c>
      <c r="I31" s="18" t="n">
        <v>26</v>
      </c>
      <c r="J31" s="18" t="n">
        <v>28423.2</v>
      </c>
      <c r="K31" s="18" t="n">
        <v>26642.8</v>
      </c>
      <c r="L31" s="18" t="n">
        <v>24303.5</v>
      </c>
      <c r="M31" s="18" t="n">
        <v>2</v>
      </c>
      <c r="N31" s="18" t="n">
        <v>1676.3</v>
      </c>
      <c r="O31" s="18" t="n">
        <v>10</v>
      </c>
    </row>
    <row r="32" customFormat="false" ht="15" hidden="false" customHeight="false" outlineLevel="0" collapsed="false">
      <c r="A32" s="17" t="s">
        <v>128</v>
      </c>
      <c r="B32" s="17" t="s">
        <v>93</v>
      </c>
      <c r="C32" s="17" t="s">
        <v>94</v>
      </c>
      <c r="D32" s="17" t="s">
        <v>72</v>
      </c>
      <c r="E32" s="18" t="n">
        <v>1206443</v>
      </c>
      <c r="F32" s="19" t="n">
        <v>0.195</v>
      </c>
      <c r="G32" s="18" t="n">
        <v>63</v>
      </c>
      <c r="H32" s="18" t="n">
        <v>68</v>
      </c>
      <c r="I32" s="18" t="n">
        <v>73</v>
      </c>
      <c r="J32" s="18" t="n">
        <v>45179.1</v>
      </c>
      <c r="K32" s="18" t="n">
        <v>48475.2</v>
      </c>
      <c r="L32" s="18" t="n">
        <v>49566</v>
      </c>
      <c r="M32" s="18" t="n">
        <v>7</v>
      </c>
      <c r="N32" s="18" t="n">
        <v>1630.3</v>
      </c>
      <c r="O32" s="18" t="n">
        <v>22</v>
      </c>
    </row>
    <row r="33" customFormat="false" ht="15" hidden="false" customHeight="false" outlineLevel="0" collapsed="false">
      <c r="A33" s="17" t="s">
        <v>129</v>
      </c>
      <c r="B33" s="17" t="s">
        <v>101</v>
      </c>
      <c r="C33" s="17" t="s">
        <v>99</v>
      </c>
      <c r="D33" s="17" t="s">
        <v>72</v>
      </c>
      <c r="E33" s="18" t="n">
        <v>2473626</v>
      </c>
      <c r="F33" s="19" t="n">
        <v>0.667</v>
      </c>
      <c r="G33" s="18" t="n">
        <v>1723</v>
      </c>
      <c r="H33" s="18" t="n">
        <v>1849</v>
      </c>
      <c r="I33" s="18" t="n">
        <v>2003</v>
      </c>
      <c r="J33" s="18" t="n">
        <v>1743876.6</v>
      </c>
      <c r="K33" s="18" t="n">
        <v>1798982.7</v>
      </c>
      <c r="L33" s="18" t="n">
        <v>1867284</v>
      </c>
      <c r="M33" s="18" t="n">
        <v>226</v>
      </c>
      <c r="N33" s="18" t="n">
        <v>125676.9</v>
      </c>
      <c r="O33" s="18" t="n">
        <v>385</v>
      </c>
    </row>
    <row r="34" customFormat="false" ht="15" hidden="false" customHeight="false" outlineLevel="0" collapsed="false">
      <c r="A34" s="17" t="s">
        <v>130</v>
      </c>
      <c r="B34" s="17" t="s">
        <v>130</v>
      </c>
      <c r="C34" s="17" t="s">
        <v>94</v>
      </c>
      <c r="D34" s="17" t="s">
        <v>72</v>
      </c>
      <c r="E34" s="18" t="n">
        <v>2429957</v>
      </c>
      <c r="F34" s="19" t="n">
        <v>0.346</v>
      </c>
      <c r="G34" s="18" t="n">
        <v>414</v>
      </c>
      <c r="H34" s="18" t="n">
        <v>439</v>
      </c>
      <c r="I34" s="18" t="n">
        <v>455</v>
      </c>
      <c r="J34" s="18" t="n">
        <v>334464</v>
      </c>
      <c r="K34" s="18" t="n">
        <v>347942.7</v>
      </c>
      <c r="L34" s="18" t="n">
        <v>345504.3</v>
      </c>
      <c r="M34" s="18" t="n">
        <v>40</v>
      </c>
      <c r="N34" s="18" t="n">
        <v>11267.4</v>
      </c>
      <c r="O34" s="18" t="n">
        <v>95</v>
      </c>
    </row>
    <row r="35" customFormat="false" ht="15" hidden="false" customHeight="false" outlineLevel="0" collapsed="false">
      <c r="A35" s="17" t="s">
        <v>131</v>
      </c>
      <c r="B35" s="17" t="s">
        <v>101</v>
      </c>
      <c r="C35" s="17" t="s">
        <v>103</v>
      </c>
      <c r="D35" s="17" t="s">
        <v>75</v>
      </c>
      <c r="E35" s="18" t="n">
        <v>1204530</v>
      </c>
      <c r="F35" s="19" t="n">
        <v>0.3</v>
      </c>
      <c r="G35" s="18" t="n">
        <v>31</v>
      </c>
      <c r="H35" s="18" t="n">
        <v>31</v>
      </c>
      <c r="I35" s="18" t="n">
        <v>33</v>
      </c>
      <c r="J35" s="18" t="n">
        <v>22490.5</v>
      </c>
      <c r="K35" s="18" t="n">
        <v>21709.1</v>
      </c>
      <c r="L35" s="18" t="n">
        <v>21135.4</v>
      </c>
      <c r="M35" s="18" t="n">
        <v>3</v>
      </c>
      <c r="N35" s="18" t="n">
        <v>926.2</v>
      </c>
      <c r="O35" s="18" t="n">
        <v>48</v>
      </c>
    </row>
    <row r="36" customFormat="false" ht="15" hidden="false" customHeight="false" outlineLevel="0" collapsed="false">
      <c r="A36" s="17" t="s">
        <v>132</v>
      </c>
      <c r="B36" s="17" t="s">
        <v>98</v>
      </c>
      <c r="C36" s="17" t="s">
        <v>103</v>
      </c>
      <c r="D36" s="17" t="s">
        <v>75</v>
      </c>
      <c r="E36" s="18" t="n">
        <v>856591</v>
      </c>
      <c r="F36" s="19" t="n">
        <v>0.238</v>
      </c>
      <c r="G36" s="18" t="n">
        <v>18</v>
      </c>
      <c r="H36" s="18" t="n">
        <v>20</v>
      </c>
      <c r="I36" s="18" t="n">
        <v>20</v>
      </c>
      <c r="J36" s="18" t="n">
        <v>13778.4</v>
      </c>
      <c r="K36" s="18" t="n">
        <v>15026.8</v>
      </c>
      <c r="L36" s="18" t="n">
        <v>15077.3</v>
      </c>
      <c r="M36" s="18" t="n">
        <v>2</v>
      </c>
      <c r="N36" s="18" t="n">
        <v>1530.5</v>
      </c>
      <c r="O36" s="18" t="n">
        <v>23</v>
      </c>
    </row>
    <row r="37" customFormat="false" ht="15" hidden="false" customHeight="false" outlineLevel="0" collapsed="false">
      <c r="A37" s="17" t="s">
        <v>133</v>
      </c>
      <c r="B37" s="17" t="s">
        <v>101</v>
      </c>
      <c r="C37" s="17" t="s">
        <v>99</v>
      </c>
      <c r="D37" s="17" t="s">
        <v>72</v>
      </c>
      <c r="E37" s="18" t="n">
        <v>1139319</v>
      </c>
      <c r="F37" s="19" t="n">
        <v>0.448</v>
      </c>
      <c r="G37" s="18" t="n">
        <v>88</v>
      </c>
      <c r="H37" s="18" t="n">
        <v>98</v>
      </c>
      <c r="I37" s="18" t="n">
        <v>100</v>
      </c>
      <c r="J37" s="18" t="n">
        <v>74929.1</v>
      </c>
      <c r="K37" s="18" t="n">
        <v>81069.6</v>
      </c>
      <c r="L37" s="18" t="n">
        <v>81388.2</v>
      </c>
      <c r="M37" s="18" t="n">
        <v>9</v>
      </c>
      <c r="N37" s="18" t="n">
        <v>3989.4</v>
      </c>
      <c r="O37" s="18" t="n">
        <v>54</v>
      </c>
    </row>
    <row r="38" customFormat="false" ht="15" hidden="false" customHeight="false" outlineLevel="0" collapsed="false">
      <c r="A38" s="17" t="s">
        <v>134</v>
      </c>
      <c r="B38" s="17" t="s">
        <v>98</v>
      </c>
      <c r="C38" s="17" t="s">
        <v>99</v>
      </c>
      <c r="D38" s="17" t="s">
        <v>75</v>
      </c>
      <c r="E38" s="18" t="n">
        <v>214214</v>
      </c>
      <c r="F38" s="19" t="n">
        <v>0.208</v>
      </c>
      <c r="G38" s="18" t="n">
        <v>2</v>
      </c>
      <c r="H38" s="18" t="n">
        <v>2</v>
      </c>
      <c r="I38" s="18" t="n">
        <v>2</v>
      </c>
      <c r="J38" s="18" t="n">
        <v>462.4</v>
      </c>
      <c r="K38" s="18" t="n">
        <v>490.4</v>
      </c>
      <c r="L38" s="18" t="n">
        <v>457.7</v>
      </c>
      <c r="M38" s="18" t="n">
        <v>0</v>
      </c>
      <c r="N38" s="18" t="n">
        <v>0</v>
      </c>
      <c r="O38" s="18" t="n">
        <v>5</v>
      </c>
    </row>
    <row r="39" customFormat="false" ht="15" hidden="false" customHeight="false" outlineLevel="0" collapsed="false">
      <c r="A39" s="17" t="s">
        <v>135</v>
      </c>
      <c r="B39" s="17" t="s">
        <v>96</v>
      </c>
      <c r="C39" s="17" t="s">
        <v>103</v>
      </c>
      <c r="D39" s="17" t="s">
        <v>72</v>
      </c>
      <c r="E39" s="18" t="n">
        <v>4720820</v>
      </c>
      <c r="F39" s="19" t="n">
        <v>0.269</v>
      </c>
      <c r="G39" s="18" t="n">
        <v>274</v>
      </c>
      <c r="H39" s="18" t="n">
        <v>299</v>
      </c>
      <c r="I39" s="18" t="n">
        <v>332</v>
      </c>
      <c r="J39" s="18" t="n">
        <v>183226.9</v>
      </c>
      <c r="K39" s="18" t="n">
        <v>194523.2</v>
      </c>
      <c r="L39" s="18" t="n">
        <v>205619.4</v>
      </c>
      <c r="M39" s="18" t="n">
        <v>44</v>
      </c>
      <c r="N39" s="18" t="n">
        <v>10834.5</v>
      </c>
      <c r="O39" s="18" t="n">
        <v>210</v>
      </c>
    </row>
    <row r="40" customFormat="false" ht="15" hidden="false" customHeight="false" outlineLevel="0" collapsed="false">
      <c r="A40" s="17" t="s">
        <v>136</v>
      </c>
      <c r="B40" s="17" t="s">
        <v>96</v>
      </c>
      <c r="C40" s="17" t="s">
        <v>94</v>
      </c>
      <c r="D40" s="17" t="s">
        <v>73</v>
      </c>
      <c r="E40" s="18" t="n">
        <v>1410922</v>
      </c>
      <c r="F40" s="19" t="n">
        <v>0.361</v>
      </c>
      <c r="G40" s="18" t="n">
        <v>92</v>
      </c>
      <c r="H40" s="18" t="n">
        <v>97</v>
      </c>
      <c r="I40" s="18" t="n">
        <v>106</v>
      </c>
      <c r="J40" s="18" t="n">
        <v>88548.2</v>
      </c>
      <c r="K40" s="18" t="n">
        <v>94216.9</v>
      </c>
      <c r="L40" s="18" t="n">
        <v>101355.4</v>
      </c>
      <c r="M40" s="18" t="n">
        <v>11</v>
      </c>
      <c r="N40" s="18" t="n">
        <v>8345.7</v>
      </c>
      <c r="O40" s="18" t="n">
        <v>42</v>
      </c>
    </row>
    <row r="41" customFormat="false" ht="15" hidden="false" customHeight="false" outlineLevel="0" collapsed="false">
      <c r="A41" s="17" t="s">
        <v>137</v>
      </c>
      <c r="B41" s="17" t="s">
        <v>98</v>
      </c>
      <c r="C41" s="17" t="s">
        <v>103</v>
      </c>
      <c r="D41" s="17" t="s">
        <v>75</v>
      </c>
      <c r="E41" s="18" t="n">
        <v>470261</v>
      </c>
      <c r="F41" s="19" t="n">
        <v>0.212</v>
      </c>
      <c r="G41" s="18" t="n">
        <v>6</v>
      </c>
      <c r="H41" s="18" t="n">
        <v>6</v>
      </c>
      <c r="I41" s="18" t="n">
        <v>7</v>
      </c>
      <c r="J41" s="18" t="n">
        <v>2674.9</v>
      </c>
      <c r="K41" s="18" t="n">
        <v>2511.2</v>
      </c>
      <c r="L41" s="18" t="n">
        <v>2497.4</v>
      </c>
      <c r="M41" s="18" t="n">
        <v>1</v>
      </c>
      <c r="N41" s="18" t="n">
        <v>139.8</v>
      </c>
      <c r="O41" s="18" t="n">
        <v>18</v>
      </c>
    </row>
    <row r="42" customFormat="false" ht="15" hidden="false" customHeight="false" outlineLevel="0" collapsed="false">
      <c r="A42" s="17" t="s">
        <v>138</v>
      </c>
      <c r="B42" s="17" t="s">
        <v>98</v>
      </c>
      <c r="C42" s="17" t="s">
        <v>99</v>
      </c>
      <c r="D42" s="17" t="s">
        <v>75</v>
      </c>
      <c r="E42" s="18" t="n">
        <v>577847</v>
      </c>
      <c r="F42" s="19" t="n">
        <v>0.181</v>
      </c>
      <c r="G42" s="18" t="n">
        <v>3</v>
      </c>
      <c r="H42" s="18" t="n">
        <v>3</v>
      </c>
      <c r="I42" s="18" t="n">
        <v>4</v>
      </c>
      <c r="J42" s="18" t="n">
        <v>1197.3</v>
      </c>
      <c r="K42" s="18" t="n">
        <v>1544.5</v>
      </c>
      <c r="L42" s="18" t="n">
        <v>1634.4</v>
      </c>
      <c r="M42" s="18" t="n">
        <v>1</v>
      </c>
      <c r="N42" s="18" t="n">
        <v>156.6</v>
      </c>
      <c r="O42" s="18" t="n">
        <v>6</v>
      </c>
    </row>
    <row r="43" customFormat="false" ht="15" hidden="false" customHeight="false" outlineLevel="0" collapsed="false">
      <c r="A43" s="17" t="s">
        <v>139</v>
      </c>
      <c r="B43" s="17" t="s">
        <v>101</v>
      </c>
      <c r="C43" s="17" t="s">
        <v>99</v>
      </c>
      <c r="D43" s="17" t="s">
        <v>72</v>
      </c>
      <c r="E43" s="18" t="n">
        <v>21216745</v>
      </c>
      <c r="F43" s="19" t="n">
        <v>0.692</v>
      </c>
      <c r="G43" s="18" t="n">
        <v>6906</v>
      </c>
      <c r="H43" s="18" t="n">
        <v>7453</v>
      </c>
      <c r="I43" s="18" t="n">
        <v>8049</v>
      </c>
      <c r="J43" s="18" t="n">
        <v>8469174.2</v>
      </c>
      <c r="K43" s="18" t="n">
        <v>8685895.4</v>
      </c>
      <c r="L43" s="18" t="n">
        <v>8864528</v>
      </c>
      <c r="M43" s="18" t="n">
        <v>863</v>
      </c>
      <c r="N43" s="18" t="n">
        <v>654106.4</v>
      </c>
      <c r="O43" s="18" t="n">
        <v>2383</v>
      </c>
    </row>
    <row r="44" customFormat="false" ht="15" hidden="false" customHeight="false" outlineLevel="0" collapsed="false">
      <c r="A44" s="17" t="s">
        <v>140</v>
      </c>
      <c r="B44" s="17" t="s">
        <v>93</v>
      </c>
      <c r="C44" s="17" t="s">
        <v>106</v>
      </c>
      <c r="D44" s="17" t="s">
        <v>75</v>
      </c>
      <c r="E44" s="18" t="n">
        <v>835916</v>
      </c>
      <c r="F44" s="19" t="n">
        <v>0.11</v>
      </c>
      <c r="G44" s="18" t="n">
        <v>7</v>
      </c>
      <c r="H44" s="18" t="n">
        <v>7</v>
      </c>
      <c r="I44" s="18" t="n">
        <v>8</v>
      </c>
      <c r="J44" s="18" t="n">
        <v>4182.8</v>
      </c>
      <c r="K44" s="18" t="n">
        <v>4098.1</v>
      </c>
      <c r="L44" s="18" t="n">
        <v>4466.2</v>
      </c>
      <c r="M44" s="18" t="n">
        <v>1</v>
      </c>
      <c r="N44" s="18" t="n">
        <v>665.1</v>
      </c>
      <c r="O44" s="18" t="n">
        <v>13</v>
      </c>
    </row>
    <row r="45" customFormat="false" ht="15" hidden="false" customHeight="false" outlineLevel="0" collapsed="false">
      <c r="A45" s="17" t="s">
        <v>141</v>
      </c>
      <c r="B45" s="17" t="s">
        <v>101</v>
      </c>
      <c r="C45" s="17" t="s">
        <v>103</v>
      </c>
      <c r="D45" s="17" t="s">
        <v>75</v>
      </c>
      <c r="E45" s="18" t="n">
        <v>1259673</v>
      </c>
      <c r="F45" s="19" t="n">
        <v>0.242</v>
      </c>
      <c r="G45" s="18" t="n">
        <v>20</v>
      </c>
      <c r="H45" s="18" t="n">
        <v>24</v>
      </c>
      <c r="I45" s="18" t="n">
        <v>23</v>
      </c>
      <c r="J45" s="18" t="n">
        <v>14589.1</v>
      </c>
      <c r="K45" s="18" t="n">
        <v>15775.1</v>
      </c>
      <c r="L45" s="18" t="n">
        <v>14060.3</v>
      </c>
      <c r="M45" s="18" t="n">
        <v>1</v>
      </c>
      <c r="N45" s="18" t="n">
        <v>396.1</v>
      </c>
      <c r="O45" s="18" t="n">
        <v>43</v>
      </c>
    </row>
    <row r="46" customFormat="false" ht="15" hidden="false" customHeight="false" outlineLevel="0" collapsed="false">
      <c r="A46" s="17" t="s">
        <v>142</v>
      </c>
      <c r="B46" s="17" t="s">
        <v>96</v>
      </c>
      <c r="C46" s="17" t="s">
        <v>121</v>
      </c>
      <c r="D46" s="17" t="s">
        <v>72</v>
      </c>
      <c r="E46" s="18" t="n">
        <v>4199830</v>
      </c>
      <c r="F46" s="19" t="n">
        <v>0.278</v>
      </c>
      <c r="G46" s="18" t="n">
        <v>409</v>
      </c>
      <c r="H46" s="18" t="n">
        <v>433</v>
      </c>
      <c r="I46" s="18" t="n">
        <v>467</v>
      </c>
      <c r="J46" s="18" t="n">
        <v>368379.8</v>
      </c>
      <c r="K46" s="18" t="n">
        <v>375473.1</v>
      </c>
      <c r="L46" s="18" t="n">
        <v>380399.5</v>
      </c>
      <c r="M46" s="18" t="n">
        <v>57</v>
      </c>
      <c r="N46" s="18" t="n">
        <v>35195.4</v>
      </c>
      <c r="O46" s="18" t="n">
        <v>98</v>
      </c>
    </row>
    <row r="47" customFormat="false" ht="15" hidden="false" customHeight="false" outlineLevel="0" collapsed="false">
      <c r="A47" s="17" t="s">
        <v>143</v>
      </c>
      <c r="B47" s="17" t="s">
        <v>98</v>
      </c>
      <c r="C47" s="17" t="s">
        <v>99</v>
      </c>
      <c r="D47" s="17" t="s">
        <v>75</v>
      </c>
      <c r="E47" s="18" t="n">
        <v>1088982</v>
      </c>
      <c r="F47" s="19" t="n">
        <v>0.371</v>
      </c>
      <c r="G47" s="18" t="n">
        <v>37</v>
      </c>
      <c r="H47" s="18" t="n">
        <v>39</v>
      </c>
      <c r="I47" s="18" t="n">
        <v>38</v>
      </c>
      <c r="J47" s="18" t="n">
        <v>15068.7</v>
      </c>
      <c r="K47" s="18" t="n">
        <v>15128.8</v>
      </c>
      <c r="L47" s="18" t="n">
        <v>14336</v>
      </c>
      <c r="M47" s="18" t="n">
        <v>1</v>
      </c>
      <c r="N47" s="18" t="n">
        <v>323.6</v>
      </c>
      <c r="O47" s="18" t="n">
        <v>34</v>
      </c>
    </row>
    <row r="48" customFormat="false" ht="15" hidden="false" customHeight="false" outlineLevel="0" collapsed="false">
      <c r="A48" s="17" t="s">
        <v>144</v>
      </c>
      <c r="B48" s="17" t="s">
        <v>101</v>
      </c>
      <c r="C48" s="17" t="s">
        <v>99</v>
      </c>
      <c r="D48" s="17" t="s">
        <v>74</v>
      </c>
      <c r="E48" s="18" t="n">
        <v>2631043</v>
      </c>
      <c r="F48" s="19" t="n">
        <v>0.381</v>
      </c>
      <c r="G48" s="18" t="n">
        <v>135</v>
      </c>
      <c r="H48" s="18" t="n">
        <v>146</v>
      </c>
      <c r="I48" s="18" t="n">
        <v>159</v>
      </c>
      <c r="J48" s="18" t="n">
        <v>88097.3</v>
      </c>
      <c r="K48" s="18" t="n">
        <v>93517.9</v>
      </c>
      <c r="L48" s="18" t="n">
        <v>101473.2</v>
      </c>
      <c r="M48" s="18" t="n">
        <v>21</v>
      </c>
      <c r="N48" s="18" t="n">
        <v>9371.9</v>
      </c>
      <c r="O48" s="18" t="n">
        <v>218</v>
      </c>
    </row>
    <row r="49" customFormat="false" ht="15" hidden="false" customHeight="false" outlineLevel="0" collapsed="false">
      <c r="A49" s="17" t="s">
        <v>145</v>
      </c>
      <c r="B49" s="17" t="s">
        <v>96</v>
      </c>
      <c r="C49" s="17" t="s">
        <v>103</v>
      </c>
      <c r="D49" s="17" t="s">
        <v>72</v>
      </c>
      <c r="E49" s="18" t="n">
        <v>3444344</v>
      </c>
      <c r="F49" s="19" t="n">
        <v>0.223</v>
      </c>
      <c r="G49" s="18" t="n">
        <v>170</v>
      </c>
      <c r="H49" s="18" t="n">
        <v>194</v>
      </c>
      <c r="I49" s="18" t="n">
        <v>218</v>
      </c>
      <c r="J49" s="18" t="n">
        <v>189512.1</v>
      </c>
      <c r="K49" s="18" t="n">
        <v>192252.3</v>
      </c>
      <c r="L49" s="18" t="n">
        <v>198126.8</v>
      </c>
      <c r="M49" s="18" t="n">
        <v>30</v>
      </c>
      <c r="N49" s="18" t="n">
        <v>15516.8</v>
      </c>
      <c r="O49" s="18" t="n">
        <v>110</v>
      </c>
    </row>
    <row r="50" customFormat="false" ht="15" hidden="false" customHeight="false" outlineLevel="0" collapsed="false">
      <c r="A50" s="17" t="s">
        <v>146</v>
      </c>
      <c r="B50" s="17" t="s">
        <v>98</v>
      </c>
      <c r="C50" s="17" t="s">
        <v>99</v>
      </c>
      <c r="D50" s="17" t="s">
        <v>75</v>
      </c>
      <c r="E50" s="18" t="n">
        <v>612798</v>
      </c>
      <c r="F50" s="19" t="n">
        <v>0.275</v>
      </c>
      <c r="G50" s="18" t="n">
        <v>5</v>
      </c>
      <c r="H50" s="18" t="n">
        <v>6</v>
      </c>
      <c r="I50" s="18" t="n">
        <v>8</v>
      </c>
      <c r="J50" s="18" t="n">
        <v>2692.5</v>
      </c>
      <c r="K50" s="18" t="n">
        <v>2755</v>
      </c>
      <c r="L50" s="18" t="n">
        <v>3401.5</v>
      </c>
      <c r="M50" s="18" t="n">
        <v>2</v>
      </c>
      <c r="N50" s="18" t="n">
        <v>413.1</v>
      </c>
      <c r="O50" s="18" t="n">
        <v>32</v>
      </c>
    </row>
    <row r="51" customFormat="false" ht="15" hidden="false" customHeight="false" outlineLevel="0" collapsed="false">
      <c r="A51" s="17" t="s">
        <v>147</v>
      </c>
      <c r="B51" s="17" t="s">
        <v>96</v>
      </c>
      <c r="C51" s="17" t="s">
        <v>94</v>
      </c>
      <c r="D51" s="17" t="s">
        <v>73</v>
      </c>
      <c r="E51" s="18" t="n">
        <v>1541408</v>
      </c>
      <c r="F51" s="19" t="n">
        <v>0.254</v>
      </c>
      <c r="G51" s="18" t="n">
        <v>63</v>
      </c>
      <c r="H51" s="18" t="n">
        <v>66</v>
      </c>
      <c r="I51" s="18" t="n">
        <v>71</v>
      </c>
      <c r="J51" s="18" t="n">
        <v>28241.2</v>
      </c>
      <c r="K51" s="18" t="n">
        <v>27880</v>
      </c>
      <c r="L51" s="18" t="n">
        <v>27613.3</v>
      </c>
      <c r="M51" s="18" t="n">
        <v>8</v>
      </c>
      <c r="N51" s="18" t="n">
        <v>2118.5</v>
      </c>
      <c r="O51" s="18" t="n">
        <v>30</v>
      </c>
    </row>
    <row r="52" customFormat="false" ht="15" hidden="false" customHeight="false" outlineLevel="0" collapsed="false">
      <c r="A52" s="17" t="s">
        <v>148</v>
      </c>
      <c r="B52" s="17" t="s">
        <v>98</v>
      </c>
      <c r="C52" s="17" t="s">
        <v>99</v>
      </c>
      <c r="D52" s="17" t="s">
        <v>75</v>
      </c>
      <c r="E52" s="18" t="n">
        <v>1034759</v>
      </c>
      <c r="F52" s="19" t="n">
        <v>0.38</v>
      </c>
      <c r="G52" s="18" t="n">
        <v>30</v>
      </c>
      <c r="H52" s="18" t="n">
        <v>32</v>
      </c>
      <c r="I52" s="18" t="n">
        <v>33</v>
      </c>
      <c r="J52" s="18" t="n">
        <v>20973.1</v>
      </c>
      <c r="K52" s="18" t="n">
        <v>21937.7</v>
      </c>
      <c r="L52" s="18" t="n">
        <v>21737.5</v>
      </c>
      <c r="M52" s="18" t="n">
        <v>4</v>
      </c>
      <c r="N52" s="18" t="n">
        <v>1915.6</v>
      </c>
      <c r="O52" s="18" t="n">
        <v>29</v>
      </c>
    </row>
    <row r="53" customFormat="false" ht="15" hidden="false" customHeight="false" outlineLevel="0" collapsed="false">
      <c r="A53" s="17" t="s">
        <v>149</v>
      </c>
      <c r="B53" s="17" t="s">
        <v>93</v>
      </c>
      <c r="C53" s="17" t="s">
        <v>106</v>
      </c>
      <c r="D53" s="17" t="s">
        <v>73</v>
      </c>
      <c r="E53" s="18" t="n">
        <v>1175749</v>
      </c>
      <c r="F53" s="19" t="n">
        <v>0.205</v>
      </c>
      <c r="G53" s="18" t="n">
        <v>38</v>
      </c>
      <c r="H53" s="18" t="n">
        <v>43</v>
      </c>
      <c r="I53" s="18" t="n">
        <v>48</v>
      </c>
      <c r="J53" s="18" t="n">
        <v>27796.3</v>
      </c>
      <c r="K53" s="18" t="n">
        <v>30964.1</v>
      </c>
      <c r="L53" s="18" t="n">
        <v>31623</v>
      </c>
      <c r="M53" s="18" t="n">
        <v>6</v>
      </c>
      <c r="N53" s="18" t="n">
        <v>2472.9</v>
      </c>
      <c r="O53" s="18" t="n">
        <v>28</v>
      </c>
    </row>
    <row r="54" customFormat="false" ht="15" hidden="false" customHeight="false" outlineLevel="0" collapsed="false">
      <c r="A54" s="17" t="s">
        <v>150</v>
      </c>
      <c r="B54" s="17" t="s">
        <v>93</v>
      </c>
      <c r="C54" s="17" t="s">
        <v>106</v>
      </c>
      <c r="D54" s="17" t="s">
        <v>73</v>
      </c>
      <c r="E54" s="18" t="n">
        <v>1256514</v>
      </c>
      <c r="F54" s="19" t="n">
        <v>0.228</v>
      </c>
      <c r="G54" s="18" t="n">
        <v>78</v>
      </c>
      <c r="H54" s="18" t="n">
        <v>82</v>
      </c>
      <c r="I54" s="18" t="n">
        <v>86</v>
      </c>
      <c r="J54" s="18" t="n">
        <v>62457</v>
      </c>
      <c r="K54" s="18" t="n">
        <v>62361.7</v>
      </c>
      <c r="L54" s="18" t="n">
        <v>60242.4</v>
      </c>
      <c r="M54" s="18" t="n">
        <v>8</v>
      </c>
      <c r="N54" s="18" t="n">
        <v>4458.2</v>
      </c>
      <c r="O54" s="18" t="n">
        <v>35</v>
      </c>
    </row>
    <row r="55" customFormat="false" ht="15" hidden="false" customHeight="false" outlineLevel="0" collapsed="false">
      <c r="A55" s="17" t="s">
        <v>151</v>
      </c>
      <c r="B55" s="17" t="s">
        <v>93</v>
      </c>
      <c r="C55" s="17" t="s">
        <v>94</v>
      </c>
      <c r="D55" s="17" t="s">
        <v>75</v>
      </c>
      <c r="E55" s="18" t="n">
        <v>1093811</v>
      </c>
      <c r="F55" s="19" t="n">
        <v>0.107</v>
      </c>
      <c r="G55" s="18" t="n">
        <v>12</v>
      </c>
      <c r="H55" s="18" t="n">
        <v>12</v>
      </c>
      <c r="I55" s="18" t="n">
        <v>12</v>
      </c>
      <c r="J55" s="18" t="n">
        <v>12756.1</v>
      </c>
      <c r="K55" s="18" t="n">
        <v>12240.9</v>
      </c>
      <c r="L55" s="18" t="n">
        <v>11703.7</v>
      </c>
      <c r="M55" s="18" t="n">
        <v>0</v>
      </c>
      <c r="N55" s="18" t="n">
        <v>0</v>
      </c>
      <c r="O55" s="18" t="n">
        <v>3</v>
      </c>
    </row>
    <row r="56" customFormat="false" ht="15" hidden="false" customHeight="false" outlineLevel="0" collapsed="false">
      <c r="A56" s="17" t="s">
        <v>152</v>
      </c>
      <c r="B56" s="17" t="s">
        <v>98</v>
      </c>
      <c r="C56" s="17" t="s">
        <v>103</v>
      </c>
      <c r="D56" s="17" t="s">
        <v>75</v>
      </c>
      <c r="E56" s="18" t="n">
        <v>268854</v>
      </c>
      <c r="F56" s="19" t="n">
        <v>0.142</v>
      </c>
      <c r="G56" s="18" t="n">
        <v>3</v>
      </c>
      <c r="H56" s="18" t="n">
        <v>3</v>
      </c>
      <c r="I56" s="18" t="n">
        <v>4</v>
      </c>
      <c r="J56" s="18" t="n">
        <v>2999.2</v>
      </c>
      <c r="K56" s="18" t="n">
        <v>2769.4</v>
      </c>
      <c r="L56" s="18" t="n">
        <v>2726</v>
      </c>
      <c r="M56" s="18" t="n">
        <v>1</v>
      </c>
      <c r="N56" s="18" t="n">
        <v>168.8</v>
      </c>
      <c r="O56" s="18" t="n">
        <v>0</v>
      </c>
    </row>
    <row r="57" customFormat="false" ht="15" hidden="false" customHeight="false" outlineLevel="0" collapsed="false">
      <c r="A57" s="17" t="s">
        <v>153</v>
      </c>
      <c r="B57" s="17" t="s">
        <v>93</v>
      </c>
      <c r="C57" s="17" t="s">
        <v>106</v>
      </c>
      <c r="D57" s="17" t="s">
        <v>75</v>
      </c>
      <c r="E57" s="18" t="n">
        <v>818037</v>
      </c>
      <c r="F57" s="19" t="n">
        <v>0.133</v>
      </c>
      <c r="G57" s="18" t="n">
        <v>8</v>
      </c>
      <c r="H57" s="18" t="n">
        <v>10</v>
      </c>
      <c r="I57" s="18" t="n">
        <v>11</v>
      </c>
      <c r="J57" s="18" t="n">
        <v>7952.5</v>
      </c>
      <c r="K57" s="18" t="n">
        <v>7824.7</v>
      </c>
      <c r="L57" s="18" t="n">
        <v>8519.8</v>
      </c>
      <c r="M57" s="18" t="n">
        <v>1</v>
      </c>
      <c r="N57" s="18" t="n">
        <v>179.5</v>
      </c>
      <c r="O57" s="18" t="n">
        <v>9</v>
      </c>
    </row>
    <row r="58" customFormat="false" ht="15" hidden="false" customHeight="false" outlineLevel="0" collapsed="false">
      <c r="A58" s="17" t="s">
        <v>154</v>
      </c>
      <c r="B58" s="17" t="s">
        <v>96</v>
      </c>
      <c r="C58" s="17" t="s">
        <v>121</v>
      </c>
      <c r="D58" s="17" t="s">
        <v>72</v>
      </c>
      <c r="E58" s="18" t="n">
        <v>13347834</v>
      </c>
      <c r="F58" s="19" t="n">
        <v>0.71</v>
      </c>
      <c r="G58" s="18" t="n">
        <v>8922</v>
      </c>
      <c r="H58" s="18" t="n">
        <v>9532</v>
      </c>
      <c r="I58" s="18" t="n">
        <v>10222</v>
      </c>
      <c r="J58" s="18" t="n">
        <v>10119031.6</v>
      </c>
      <c r="K58" s="18" t="n">
        <v>10344827.3</v>
      </c>
      <c r="L58" s="18" t="n">
        <v>10464261.9</v>
      </c>
      <c r="M58" s="18" t="n">
        <v>1056</v>
      </c>
      <c r="N58" s="18" t="n">
        <v>537110.3</v>
      </c>
      <c r="O58" s="18" t="n">
        <v>1671</v>
      </c>
    </row>
    <row r="59" customFormat="false" ht="15" hidden="false" customHeight="false" outlineLevel="0" collapsed="false">
      <c r="A59" s="17" t="s">
        <v>155</v>
      </c>
      <c r="B59" s="17" t="s">
        <v>93</v>
      </c>
      <c r="C59" s="17" t="s">
        <v>106</v>
      </c>
      <c r="D59" s="17" t="s">
        <v>75</v>
      </c>
      <c r="E59" s="18" t="n">
        <v>1065961</v>
      </c>
      <c r="F59" s="19" t="n">
        <v>0.18</v>
      </c>
      <c r="G59" s="18" t="n">
        <v>20</v>
      </c>
      <c r="H59" s="18" t="n">
        <v>20</v>
      </c>
      <c r="I59" s="18" t="n">
        <v>21</v>
      </c>
      <c r="J59" s="18" t="n">
        <v>17213.9</v>
      </c>
      <c r="K59" s="18" t="n">
        <v>16687</v>
      </c>
      <c r="L59" s="18" t="n">
        <v>16141.3</v>
      </c>
      <c r="M59" s="18" t="n">
        <v>2</v>
      </c>
      <c r="N59" s="18" t="n">
        <v>1076.7</v>
      </c>
      <c r="O59" s="18" t="n">
        <v>20</v>
      </c>
    </row>
    <row r="60" customFormat="false" ht="15" hidden="false" customHeight="false" outlineLevel="0" collapsed="false">
      <c r="A60" s="17" t="s">
        <v>156</v>
      </c>
      <c r="B60" s="17" t="s">
        <v>98</v>
      </c>
      <c r="C60" s="17" t="s">
        <v>99</v>
      </c>
      <c r="D60" s="17" t="s">
        <v>73</v>
      </c>
      <c r="E60" s="18" t="n">
        <v>700194</v>
      </c>
      <c r="F60" s="19" t="n">
        <v>0.414</v>
      </c>
      <c r="G60" s="18" t="n">
        <v>37</v>
      </c>
      <c r="H60" s="18" t="n">
        <v>38</v>
      </c>
      <c r="I60" s="18" t="n">
        <v>44</v>
      </c>
      <c r="J60" s="18" t="n">
        <v>39616.8</v>
      </c>
      <c r="K60" s="18" t="n">
        <v>41174.9</v>
      </c>
      <c r="L60" s="18" t="n">
        <v>43688.3</v>
      </c>
      <c r="M60" s="18" t="n">
        <v>8</v>
      </c>
      <c r="N60" s="18" t="n">
        <v>4209.2</v>
      </c>
      <c r="O60" s="18" t="n">
        <v>29</v>
      </c>
    </row>
    <row r="61" customFormat="false" ht="15" hidden="false" customHeight="false" outlineLevel="0" collapsed="false">
      <c r="A61" s="17" t="s">
        <v>157</v>
      </c>
      <c r="B61" s="17" t="s">
        <v>96</v>
      </c>
      <c r="C61" s="17" t="s">
        <v>103</v>
      </c>
      <c r="D61" s="17" t="s">
        <v>73</v>
      </c>
      <c r="E61" s="18" t="n">
        <v>2152759</v>
      </c>
      <c r="F61" s="19" t="n">
        <v>0.203</v>
      </c>
      <c r="G61" s="18" t="n">
        <v>60</v>
      </c>
      <c r="H61" s="18" t="n">
        <v>71</v>
      </c>
      <c r="I61" s="18" t="n">
        <v>80</v>
      </c>
      <c r="J61" s="18" t="n">
        <v>62803.4</v>
      </c>
      <c r="K61" s="18" t="n">
        <v>68259.4</v>
      </c>
      <c r="L61" s="18" t="n">
        <v>71850</v>
      </c>
      <c r="M61" s="18" t="n">
        <v>12</v>
      </c>
      <c r="N61" s="18" t="n">
        <v>3811.1</v>
      </c>
      <c r="O61" s="18" t="n">
        <v>72</v>
      </c>
    </row>
    <row r="62" customFormat="false" ht="15" hidden="false" customHeight="false" outlineLevel="0" collapsed="false">
      <c r="A62" s="17" t="s">
        <v>158</v>
      </c>
      <c r="B62" s="17" t="s">
        <v>96</v>
      </c>
      <c r="C62" s="17" t="s">
        <v>103</v>
      </c>
      <c r="D62" s="17" t="s">
        <v>73</v>
      </c>
      <c r="E62" s="18" t="n">
        <v>1969275</v>
      </c>
      <c r="F62" s="19" t="n">
        <v>0.213</v>
      </c>
      <c r="G62" s="18" t="n">
        <v>95</v>
      </c>
      <c r="H62" s="18" t="n">
        <v>100</v>
      </c>
      <c r="I62" s="18" t="n">
        <v>110</v>
      </c>
      <c r="J62" s="18" t="n">
        <v>85134.3</v>
      </c>
      <c r="K62" s="18" t="n">
        <v>84164.9</v>
      </c>
      <c r="L62" s="18" t="n">
        <v>82401.2</v>
      </c>
      <c r="M62" s="18" t="n">
        <v>15</v>
      </c>
      <c r="N62" s="18" t="n">
        <v>6107.8</v>
      </c>
      <c r="O62" s="18" t="n">
        <v>78</v>
      </c>
    </row>
    <row r="63" customFormat="false" ht="15" hidden="false" customHeight="false" outlineLevel="0" collapsed="false">
      <c r="A63" s="17" t="s">
        <v>159</v>
      </c>
      <c r="B63" s="17" t="s">
        <v>98</v>
      </c>
      <c r="C63" s="17" t="s">
        <v>103</v>
      </c>
      <c r="D63" s="17" t="s">
        <v>75</v>
      </c>
      <c r="E63" s="18" t="n">
        <v>492306</v>
      </c>
      <c r="F63" s="19" t="n">
        <v>0.176</v>
      </c>
      <c r="G63" s="18" t="n">
        <v>3</v>
      </c>
      <c r="H63" s="18" t="n">
        <v>5</v>
      </c>
      <c r="I63" s="18" t="n">
        <v>6</v>
      </c>
      <c r="J63" s="18" t="n">
        <v>1983.3</v>
      </c>
      <c r="K63" s="18" t="n">
        <v>2314.1</v>
      </c>
      <c r="L63" s="18" t="n">
        <v>2780.3</v>
      </c>
      <c r="M63" s="18" t="n">
        <v>1</v>
      </c>
      <c r="N63" s="18" t="n">
        <v>197.5</v>
      </c>
      <c r="O63" s="18" t="n">
        <v>6</v>
      </c>
    </row>
    <row r="64" customFormat="false" ht="15" hidden="false" customHeight="false" outlineLevel="0" collapsed="false">
      <c r="A64" s="17" t="s">
        <v>160</v>
      </c>
      <c r="B64" s="17" t="s">
        <v>93</v>
      </c>
      <c r="C64" s="17" t="s">
        <v>106</v>
      </c>
      <c r="D64" s="17" t="s">
        <v>75</v>
      </c>
      <c r="E64" s="18" t="n">
        <v>1688847</v>
      </c>
      <c r="F64" s="19" t="n">
        <v>0.153</v>
      </c>
      <c r="G64" s="18" t="n">
        <v>28</v>
      </c>
      <c r="H64" s="18" t="n">
        <v>29</v>
      </c>
      <c r="I64" s="18" t="n">
        <v>33</v>
      </c>
      <c r="J64" s="18" t="n">
        <v>16163.3</v>
      </c>
      <c r="K64" s="18" t="n">
        <v>16317.3</v>
      </c>
      <c r="L64" s="18" t="n">
        <v>17658.8</v>
      </c>
      <c r="M64" s="18" t="n">
        <v>5</v>
      </c>
      <c r="N64" s="18" t="n">
        <v>1137.5</v>
      </c>
      <c r="O64" s="18" t="n">
        <v>23</v>
      </c>
    </row>
    <row r="65" customFormat="false" ht="15" hidden="false" customHeight="false" outlineLevel="0" collapsed="false">
      <c r="A65" s="17" t="s">
        <v>161</v>
      </c>
      <c r="B65" s="17" t="s">
        <v>93</v>
      </c>
      <c r="C65" s="17" t="s">
        <v>106</v>
      </c>
      <c r="D65" s="17" t="s">
        <v>73</v>
      </c>
      <c r="E65" s="18" t="n">
        <v>845857</v>
      </c>
      <c r="F65" s="19" t="n">
        <v>0.08</v>
      </c>
      <c r="G65" s="18" t="n">
        <v>6</v>
      </c>
      <c r="H65" s="18" t="n">
        <v>8</v>
      </c>
      <c r="I65" s="18" t="n">
        <v>9</v>
      </c>
      <c r="J65" s="18" t="n">
        <v>6623</v>
      </c>
      <c r="K65" s="18" t="n">
        <v>7628.3</v>
      </c>
      <c r="L65" s="18" t="n">
        <v>9708.2</v>
      </c>
      <c r="M65" s="18" t="n">
        <v>1</v>
      </c>
      <c r="N65" s="18" t="n">
        <v>1523.5</v>
      </c>
      <c r="O65" s="18" t="n">
        <v>2</v>
      </c>
    </row>
    <row r="66" customFormat="false" ht="15" hidden="false" customHeight="false" outlineLevel="0" collapsed="false">
      <c r="A66" s="17" t="s">
        <v>162</v>
      </c>
      <c r="B66" s="17" t="s">
        <v>96</v>
      </c>
      <c r="C66" s="17" t="s">
        <v>121</v>
      </c>
      <c r="D66" s="17" t="s">
        <v>73</v>
      </c>
      <c r="E66" s="18" t="n">
        <v>1871985</v>
      </c>
      <c r="F66" s="19" t="n">
        <v>0.237</v>
      </c>
      <c r="G66" s="18" t="n">
        <v>87</v>
      </c>
      <c r="H66" s="18" t="n">
        <v>92</v>
      </c>
      <c r="I66" s="18" t="n">
        <v>98</v>
      </c>
      <c r="J66" s="18" t="n">
        <v>72773.5</v>
      </c>
      <c r="K66" s="18" t="n">
        <v>74490.8</v>
      </c>
      <c r="L66" s="18" t="n">
        <v>77042.4</v>
      </c>
      <c r="M66" s="18" t="n">
        <v>9</v>
      </c>
      <c r="N66" s="18" t="n">
        <v>3723.4</v>
      </c>
      <c r="O66" s="18" t="n">
        <v>34</v>
      </c>
    </row>
    <row r="67" customFormat="false" ht="15" hidden="false" customHeight="false" outlineLevel="0" collapsed="false">
      <c r="A67" s="17" t="s">
        <v>163</v>
      </c>
      <c r="B67" s="17" t="s">
        <v>93</v>
      </c>
      <c r="C67" s="17" t="s">
        <v>94</v>
      </c>
      <c r="D67" s="17" t="s">
        <v>73</v>
      </c>
      <c r="E67" s="18" t="n">
        <v>2046664</v>
      </c>
      <c r="F67" s="19" t="n">
        <v>0.212</v>
      </c>
      <c r="G67" s="18" t="n">
        <v>61</v>
      </c>
      <c r="H67" s="18" t="n">
        <v>61</v>
      </c>
      <c r="I67" s="18" t="n">
        <v>72</v>
      </c>
      <c r="J67" s="18" t="n">
        <v>54090.1</v>
      </c>
      <c r="K67" s="18" t="n">
        <v>50585.7</v>
      </c>
      <c r="L67" s="18" t="n">
        <v>54109.1</v>
      </c>
      <c r="M67" s="18" t="n">
        <v>11</v>
      </c>
      <c r="N67" s="18" t="n">
        <v>5148.3</v>
      </c>
      <c r="O67" s="18" t="n">
        <v>56</v>
      </c>
    </row>
    <row r="68" customFormat="false" ht="15" hidden="false" customHeight="false" outlineLevel="0" collapsed="false">
      <c r="A68" s="17" t="s">
        <v>164</v>
      </c>
      <c r="B68" s="17" t="s">
        <v>93</v>
      </c>
      <c r="C68" s="17" t="s">
        <v>106</v>
      </c>
      <c r="D68" s="17" t="s">
        <v>72</v>
      </c>
      <c r="E68" s="18" t="n">
        <v>2812230</v>
      </c>
      <c r="F68" s="19" t="n">
        <v>0.198</v>
      </c>
      <c r="G68" s="18" t="n">
        <v>165</v>
      </c>
      <c r="H68" s="18" t="n">
        <v>173</v>
      </c>
      <c r="I68" s="18" t="n">
        <v>189</v>
      </c>
      <c r="J68" s="18" t="n">
        <v>134505.2</v>
      </c>
      <c r="K68" s="18" t="n">
        <v>131930.8</v>
      </c>
      <c r="L68" s="18" t="n">
        <v>137098.3</v>
      </c>
      <c r="M68" s="18" t="n">
        <v>22</v>
      </c>
      <c r="N68" s="18" t="n">
        <v>9897.2</v>
      </c>
      <c r="O68" s="18" t="n">
        <v>84</v>
      </c>
    </row>
    <row r="69" customFormat="false" ht="15" hidden="false" customHeight="false" outlineLevel="0" collapsed="false">
      <c r="A69" s="17" t="s">
        <v>165</v>
      </c>
      <c r="B69" s="17" t="s">
        <v>98</v>
      </c>
      <c r="C69" s="17" t="s">
        <v>103</v>
      </c>
      <c r="D69" s="17" t="s">
        <v>75</v>
      </c>
      <c r="E69" s="18" t="n">
        <v>321996</v>
      </c>
      <c r="F69" s="19" t="n">
        <v>0.168</v>
      </c>
      <c r="G69" s="18" t="n">
        <v>1</v>
      </c>
      <c r="H69" s="18" t="n">
        <v>1</v>
      </c>
      <c r="I69" s="18" t="n">
        <v>2</v>
      </c>
      <c r="J69" s="18" t="n">
        <v>582.3</v>
      </c>
      <c r="K69" s="18" t="n">
        <v>544.1</v>
      </c>
      <c r="L69" s="18" t="n">
        <v>943.7</v>
      </c>
      <c r="M69" s="18" t="n">
        <v>1</v>
      </c>
      <c r="N69" s="18" t="n">
        <v>435.2</v>
      </c>
      <c r="O69" s="18" t="n">
        <v>5</v>
      </c>
    </row>
    <row r="70" customFormat="false" ht="15" hidden="false" customHeight="false" outlineLevel="0" collapsed="false">
      <c r="A70" s="17" t="s">
        <v>166</v>
      </c>
      <c r="B70" s="17" t="s">
        <v>101</v>
      </c>
      <c r="C70" s="17" t="s">
        <v>99</v>
      </c>
      <c r="D70" s="17" t="s">
        <v>73</v>
      </c>
      <c r="E70" s="18" t="n">
        <v>863381</v>
      </c>
      <c r="F70" s="19" t="n">
        <v>0.179</v>
      </c>
      <c r="G70" s="18" t="n">
        <v>26</v>
      </c>
      <c r="H70" s="18" t="n">
        <v>28</v>
      </c>
      <c r="I70" s="18" t="n">
        <v>31</v>
      </c>
      <c r="J70" s="18" t="n">
        <v>26965.4</v>
      </c>
      <c r="K70" s="18" t="n">
        <v>28696.6</v>
      </c>
      <c r="L70" s="18" t="n">
        <v>30155.1</v>
      </c>
      <c r="M70" s="18" t="n">
        <v>5</v>
      </c>
      <c r="N70" s="18" t="n">
        <v>3633.4</v>
      </c>
      <c r="O70" s="18" t="n">
        <v>16</v>
      </c>
    </row>
    <row r="71" customFormat="false" ht="15" hidden="false" customHeight="false" outlineLevel="0" collapsed="false">
      <c r="A71" s="17" t="s">
        <v>167</v>
      </c>
      <c r="B71" s="17" t="s">
        <v>96</v>
      </c>
      <c r="C71" s="17" t="s">
        <v>106</v>
      </c>
      <c r="D71" s="17" t="s">
        <v>73</v>
      </c>
      <c r="E71" s="18" t="n">
        <v>1844825</v>
      </c>
      <c r="F71" s="19" t="n">
        <v>0.287</v>
      </c>
      <c r="G71" s="18" t="n">
        <v>62</v>
      </c>
      <c r="H71" s="18" t="n">
        <v>66</v>
      </c>
      <c r="I71" s="18" t="n">
        <v>67</v>
      </c>
      <c r="J71" s="18" t="n">
        <v>46223.4</v>
      </c>
      <c r="K71" s="18" t="n">
        <v>45136.5</v>
      </c>
      <c r="L71" s="18" t="n">
        <v>44811.9</v>
      </c>
      <c r="M71" s="18" t="n">
        <v>4</v>
      </c>
      <c r="N71" s="18" t="n">
        <v>875</v>
      </c>
      <c r="O71" s="18" t="n">
        <v>57</v>
      </c>
    </row>
    <row r="72" customFormat="false" ht="15" hidden="false" customHeight="false" outlineLevel="0" collapsed="false">
      <c r="A72" s="17" t="s">
        <v>168</v>
      </c>
      <c r="B72" s="17" t="s">
        <v>101</v>
      </c>
      <c r="C72" s="17" t="s">
        <v>99</v>
      </c>
      <c r="D72" s="17" t="s">
        <v>73</v>
      </c>
      <c r="E72" s="18" t="n">
        <v>1712845</v>
      </c>
      <c r="F72" s="19" t="n">
        <v>0.24</v>
      </c>
      <c r="G72" s="18" t="n">
        <v>110</v>
      </c>
      <c r="H72" s="18" t="n">
        <v>118</v>
      </c>
      <c r="I72" s="18" t="n">
        <v>127</v>
      </c>
      <c r="J72" s="18" t="n">
        <v>73428.9</v>
      </c>
      <c r="K72" s="18" t="n">
        <v>76088.4</v>
      </c>
      <c r="L72" s="18" t="n">
        <v>77787.4</v>
      </c>
      <c r="M72" s="18" t="n">
        <v>13</v>
      </c>
      <c r="N72" s="18" t="n">
        <v>4015.6</v>
      </c>
      <c r="O72" s="18" t="n">
        <v>23</v>
      </c>
    </row>
    <row r="73" customFormat="false" ht="15" hidden="false" customHeight="false" outlineLevel="0" collapsed="false">
      <c r="A73" s="17" t="s">
        <v>169</v>
      </c>
      <c r="B73" s="17" t="s">
        <v>93</v>
      </c>
      <c r="C73" s="17" t="s">
        <v>106</v>
      </c>
      <c r="D73" s="17" t="s">
        <v>73</v>
      </c>
      <c r="E73" s="18" t="n">
        <v>568441</v>
      </c>
      <c r="F73" s="19" t="n">
        <v>0.13</v>
      </c>
      <c r="G73" s="18" t="n">
        <v>24</v>
      </c>
      <c r="H73" s="18" t="n">
        <v>24</v>
      </c>
      <c r="I73" s="18" t="n">
        <v>24</v>
      </c>
      <c r="J73" s="18" t="n">
        <v>20842.3</v>
      </c>
      <c r="K73" s="18" t="n">
        <v>22308.2</v>
      </c>
      <c r="L73" s="18" t="n">
        <v>22320.9</v>
      </c>
      <c r="M73" s="18" t="n">
        <v>0</v>
      </c>
      <c r="N73" s="18" t="n">
        <v>0</v>
      </c>
      <c r="O73" s="18" t="n">
        <v>5</v>
      </c>
    </row>
    <row r="74" customFormat="false" ht="15" hidden="false" customHeight="false" outlineLevel="0" collapsed="false">
      <c r="A74" s="17" t="s">
        <v>170</v>
      </c>
      <c r="B74" s="17" t="s">
        <v>96</v>
      </c>
      <c r="C74" s="17" t="s">
        <v>103</v>
      </c>
      <c r="D74" s="17" t="s">
        <v>72</v>
      </c>
      <c r="E74" s="18" t="n">
        <v>5472500</v>
      </c>
      <c r="F74" s="19" t="n">
        <v>0.424</v>
      </c>
      <c r="G74" s="18" t="n">
        <v>714</v>
      </c>
      <c r="H74" s="18" t="n">
        <v>767</v>
      </c>
      <c r="I74" s="18" t="n">
        <v>814</v>
      </c>
      <c r="J74" s="18" t="n">
        <v>678971.1</v>
      </c>
      <c r="K74" s="18" t="n">
        <v>713599.2</v>
      </c>
      <c r="L74" s="18" t="n">
        <v>728019.2</v>
      </c>
      <c r="M74" s="18" t="n">
        <v>86</v>
      </c>
      <c r="N74" s="18" t="n">
        <v>31765.2</v>
      </c>
      <c r="O74" s="18" t="n">
        <v>385</v>
      </c>
    </row>
    <row r="75" customFormat="false" ht="15" hidden="false" customHeight="false" outlineLevel="0" collapsed="false">
      <c r="A75" s="17" t="s">
        <v>171</v>
      </c>
      <c r="B75" s="17" t="s">
        <v>98</v>
      </c>
      <c r="C75" s="17" t="s">
        <v>103</v>
      </c>
      <c r="D75" s="17" t="s">
        <v>75</v>
      </c>
      <c r="E75" s="18" t="n">
        <v>184909</v>
      </c>
      <c r="F75" s="19" t="n">
        <v>0.12</v>
      </c>
      <c r="G75" s="18" t="n">
        <v>2</v>
      </c>
      <c r="H75" s="18" t="n">
        <v>3</v>
      </c>
      <c r="I75" s="18" t="n">
        <v>3</v>
      </c>
      <c r="J75" s="18" t="n">
        <v>1346.3</v>
      </c>
      <c r="K75" s="18" t="n">
        <v>1871.7</v>
      </c>
      <c r="L75" s="18" t="n">
        <v>2610.4</v>
      </c>
      <c r="M75" s="18" t="n">
        <v>0</v>
      </c>
      <c r="N75" s="18" t="n">
        <v>0</v>
      </c>
      <c r="O75" s="18" t="n">
        <v>0</v>
      </c>
    </row>
    <row r="76" customFormat="false" ht="15" hidden="false" customHeight="false" outlineLevel="0" collapsed="false">
      <c r="A76" s="17" t="s">
        <v>172</v>
      </c>
      <c r="B76" s="17" t="s">
        <v>96</v>
      </c>
      <c r="C76" s="17" t="s">
        <v>103</v>
      </c>
      <c r="D76" s="17" t="s">
        <v>72</v>
      </c>
      <c r="E76" s="18" t="n">
        <v>5139956</v>
      </c>
      <c r="F76" s="19" t="n">
        <v>0.231</v>
      </c>
      <c r="G76" s="18" t="n">
        <v>169</v>
      </c>
      <c r="H76" s="18" t="n">
        <v>176</v>
      </c>
      <c r="I76" s="18" t="n">
        <v>185</v>
      </c>
      <c r="J76" s="18" t="n">
        <v>188769.3</v>
      </c>
      <c r="K76" s="18" t="n">
        <v>185988.2</v>
      </c>
      <c r="L76" s="18" t="n">
        <v>188688.6</v>
      </c>
      <c r="M76" s="18" t="n">
        <v>16</v>
      </c>
      <c r="N76" s="18" t="n">
        <v>5622.4</v>
      </c>
      <c r="O76" s="18" t="n">
        <v>208</v>
      </c>
    </row>
    <row r="77" customFormat="false" ht="15" hidden="false" customHeight="false" outlineLevel="0" collapsed="false">
      <c r="A77" s="17" t="s">
        <v>173</v>
      </c>
      <c r="B77" s="17" t="s">
        <v>96</v>
      </c>
      <c r="C77" s="17" t="s">
        <v>121</v>
      </c>
      <c r="D77" s="17" t="s">
        <v>72</v>
      </c>
      <c r="E77" s="18" t="n">
        <v>1994772</v>
      </c>
      <c r="F77" s="19" t="n">
        <v>0.168</v>
      </c>
      <c r="G77" s="18" t="n">
        <v>51</v>
      </c>
      <c r="H77" s="18" t="n">
        <v>52</v>
      </c>
      <c r="I77" s="18" t="n">
        <v>55</v>
      </c>
      <c r="J77" s="18" t="n">
        <v>30624.7</v>
      </c>
      <c r="K77" s="18" t="n">
        <v>33969.7</v>
      </c>
      <c r="L77" s="18" t="n">
        <v>33658</v>
      </c>
      <c r="M77" s="18" t="n">
        <v>5</v>
      </c>
      <c r="N77" s="18" t="n">
        <v>1962.6</v>
      </c>
      <c r="O77" s="18" t="n">
        <v>52</v>
      </c>
    </row>
    <row r="78" customFormat="false" ht="15" hidden="false" customHeight="false" outlineLevel="0" collapsed="false">
      <c r="A78" s="17" t="s">
        <v>174</v>
      </c>
      <c r="B78" s="17" t="s">
        <v>98</v>
      </c>
      <c r="C78" s="17" t="s">
        <v>103</v>
      </c>
      <c r="D78" s="17" t="s">
        <v>75</v>
      </c>
      <c r="E78" s="18" t="n">
        <v>576604</v>
      </c>
      <c r="F78" s="19" t="n">
        <v>0.225</v>
      </c>
      <c r="G78" s="18" t="n">
        <v>7</v>
      </c>
      <c r="H78" s="18" t="n">
        <v>10</v>
      </c>
      <c r="I78" s="18" t="n">
        <v>10</v>
      </c>
      <c r="J78" s="18" t="n">
        <v>4407.6</v>
      </c>
      <c r="K78" s="18" t="n">
        <v>5466.1</v>
      </c>
      <c r="L78" s="18" t="n">
        <v>5595.2</v>
      </c>
      <c r="M78" s="18" t="n">
        <v>1</v>
      </c>
      <c r="N78" s="18" t="n">
        <v>365.4</v>
      </c>
      <c r="O78" s="18" t="n">
        <v>17</v>
      </c>
    </row>
    <row r="79" customFormat="false" ht="15" hidden="false" customHeight="false" outlineLevel="0" collapsed="false">
      <c r="A79" s="17" t="s">
        <v>175</v>
      </c>
      <c r="B79" s="17" t="s">
        <v>101</v>
      </c>
      <c r="C79" s="17" t="s">
        <v>99</v>
      </c>
      <c r="D79" s="17" t="s">
        <v>73</v>
      </c>
      <c r="E79" s="18" t="n">
        <v>1806191</v>
      </c>
      <c r="F79" s="19" t="n">
        <v>0.322</v>
      </c>
      <c r="G79" s="18" t="n">
        <v>98</v>
      </c>
      <c r="H79" s="18" t="n">
        <v>107</v>
      </c>
      <c r="I79" s="18" t="n">
        <v>116</v>
      </c>
      <c r="J79" s="18" t="n">
        <v>67379.7</v>
      </c>
      <c r="K79" s="18" t="n">
        <v>71832.9</v>
      </c>
      <c r="L79" s="18" t="n">
        <v>76534.4</v>
      </c>
      <c r="M79" s="18" t="n">
        <v>12</v>
      </c>
      <c r="N79" s="18" t="n">
        <v>6468.9</v>
      </c>
      <c r="O79" s="18" t="n">
        <v>85</v>
      </c>
    </row>
    <row r="80" customFormat="false" ht="15" hidden="false" customHeight="false" outlineLevel="0" collapsed="false">
      <c r="A80" s="17" t="s">
        <v>176</v>
      </c>
      <c r="B80" s="17" t="s">
        <v>101</v>
      </c>
      <c r="C80" s="17" t="s">
        <v>99</v>
      </c>
      <c r="D80" s="17" t="s">
        <v>73</v>
      </c>
      <c r="E80" s="18" t="n">
        <v>1886820</v>
      </c>
      <c r="F80" s="19" t="n">
        <v>0.34</v>
      </c>
      <c r="G80" s="18" t="n">
        <v>74</v>
      </c>
      <c r="H80" s="18" t="n">
        <v>83</v>
      </c>
      <c r="I80" s="18" t="n">
        <v>92</v>
      </c>
      <c r="J80" s="18" t="n">
        <v>70291.4</v>
      </c>
      <c r="K80" s="18" t="n">
        <v>80750.8</v>
      </c>
      <c r="L80" s="18" t="n">
        <v>87815.9</v>
      </c>
      <c r="M80" s="18" t="n">
        <v>12</v>
      </c>
      <c r="N80" s="18" t="n">
        <v>4649.1</v>
      </c>
      <c r="O80" s="18" t="n">
        <v>78</v>
      </c>
    </row>
    <row r="81" customFormat="false" ht="15" hidden="false" customHeight="false" outlineLevel="0" collapsed="false">
      <c r="A81" s="17" t="s">
        <v>177</v>
      </c>
      <c r="B81" s="17" t="s">
        <v>93</v>
      </c>
      <c r="C81" s="17" t="s">
        <v>106</v>
      </c>
      <c r="D81" s="17" t="s">
        <v>75</v>
      </c>
      <c r="E81" s="18" t="n">
        <v>722702</v>
      </c>
      <c r="F81" s="19" t="n">
        <v>0.173</v>
      </c>
      <c r="G81" s="18" t="n">
        <v>11</v>
      </c>
      <c r="H81" s="18" t="n">
        <v>13</v>
      </c>
      <c r="I81" s="18" t="n">
        <v>14</v>
      </c>
      <c r="J81" s="18" t="n">
        <v>6598.3</v>
      </c>
      <c r="K81" s="18" t="n">
        <v>6861.3</v>
      </c>
      <c r="L81" s="18" t="n">
        <v>6901.8</v>
      </c>
      <c r="M81" s="18" t="n">
        <v>2</v>
      </c>
      <c r="N81" s="18" t="n">
        <v>274.9</v>
      </c>
      <c r="O81" s="18" t="n">
        <v>4</v>
      </c>
    </row>
    <row r="82" customFormat="false" ht="15" hidden="false" customHeight="false" outlineLevel="0" collapsed="false">
      <c r="A82" s="17" t="s">
        <v>178</v>
      </c>
      <c r="B82" s="17" t="s">
        <v>93</v>
      </c>
      <c r="C82" s="17" t="s">
        <v>106</v>
      </c>
      <c r="D82" s="17" t="s">
        <v>72</v>
      </c>
      <c r="E82" s="18" t="n">
        <v>1780289</v>
      </c>
      <c r="F82" s="19" t="n">
        <v>0.256</v>
      </c>
      <c r="G82" s="18" t="n">
        <v>141</v>
      </c>
      <c r="H82" s="18" t="n">
        <v>157</v>
      </c>
      <c r="I82" s="18" t="n">
        <v>173</v>
      </c>
      <c r="J82" s="18" t="n">
        <v>129854.6</v>
      </c>
      <c r="K82" s="18" t="n">
        <v>145171.7</v>
      </c>
      <c r="L82" s="18" t="n">
        <v>163059.2</v>
      </c>
      <c r="M82" s="18" t="n">
        <v>20</v>
      </c>
      <c r="N82" s="18" t="n">
        <v>8309.6</v>
      </c>
      <c r="O82" s="18" t="n">
        <v>34</v>
      </c>
    </row>
    <row r="83" customFormat="false" ht="15" hidden="false" customHeight="false" outlineLevel="0" collapsed="false">
      <c r="A83" s="17" t="s">
        <v>179</v>
      </c>
      <c r="B83" s="17" t="s">
        <v>98</v>
      </c>
      <c r="C83" s="17" t="s">
        <v>99</v>
      </c>
      <c r="D83" s="17" t="s">
        <v>75</v>
      </c>
      <c r="E83" s="18" t="n">
        <v>213084</v>
      </c>
      <c r="F83" s="19" t="n">
        <v>0.295</v>
      </c>
      <c r="G83" s="18" t="n">
        <v>4</v>
      </c>
      <c r="H83" s="18" t="n">
        <v>5</v>
      </c>
      <c r="I83" s="18" t="n">
        <v>5</v>
      </c>
      <c r="J83" s="18" t="n">
        <v>1291.8</v>
      </c>
      <c r="K83" s="18" t="n">
        <v>1502.3</v>
      </c>
      <c r="L83" s="18" t="n">
        <v>1547.7</v>
      </c>
      <c r="M83" s="18" t="n">
        <v>0</v>
      </c>
      <c r="N83" s="18" t="n">
        <v>0</v>
      </c>
      <c r="O83" s="18" t="n">
        <v>3</v>
      </c>
    </row>
    <row r="84" customFormat="false" ht="15" hidden="false" customHeight="false" outlineLevel="0" collapsed="false">
      <c r="A84" s="17" t="s">
        <v>180</v>
      </c>
      <c r="B84" s="17" t="s">
        <v>96</v>
      </c>
      <c r="C84" s="17" t="s">
        <v>121</v>
      </c>
      <c r="D84" s="17" t="s">
        <v>73</v>
      </c>
      <c r="E84" s="18" t="n">
        <v>3601514</v>
      </c>
      <c r="F84" s="19" t="n">
        <v>0.304</v>
      </c>
      <c r="G84" s="18" t="n">
        <v>148</v>
      </c>
      <c r="H84" s="18" t="n">
        <v>161</v>
      </c>
      <c r="I84" s="18" t="n">
        <v>175</v>
      </c>
      <c r="J84" s="18" t="n">
        <v>125318.5</v>
      </c>
      <c r="K84" s="18" t="n">
        <v>125155.8</v>
      </c>
      <c r="L84" s="18" t="n">
        <v>129388.3</v>
      </c>
      <c r="M84" s="18" t="n">
        <v>17</v>
      </c>
      <c r="N84" s="18" t="n">
        <v>9093.1</v>
      </c>
      <c r="O84" s="18" t="n">
        <v>124</v>
      </c>
    </row>
    <row r="85" customFormat="false" ht="15" hidden="false" customHeight="false" outlineLevel="0" collapsed="false">
      <c r="A85" s="17" t="s">
        <v>181</v>
      </c>
      <c r="B85" s="17" t="s">
        <v>93</v>
      </c>
      <c r="C85" s="17" t="s">
        <v>106</v>
      </c>
      <c r="D85" s="17" t="s">
        <v>73</v>
      </c>
      <c r="E85" s="18" t="n">
        <v>415756</v>
      </c>
      <c r="F85" s="19" t="n">
        <v>0.101</v>
      </c>
      <c r="G85" s="18" t="n">
        <v>10</v>
      </c>
      <c r="H85" s="18" t="n">
        <v>9</v>
      </c>
      <c r="I85" s="18" t="n">
        <v>10</v>
      </c>
      <c r="J85" s="18" t="n">
        <v>9620.6</v>
      </c>
      <c r="K85" s="18" t="n">
        <v>8608</v>
      </c>
      <c r="L85" s="18" t="n">
        <v>8568.5</v>
      </c>
      <c r="M85" s="18" t="n">
        <v>1</v>
      </c>
      <c r="N85" s="18" t="n">
        <v>247.3</v>
      </c>
      <c r="O85" s="18" t="n">
        <v>3</v>
      </c>
    </row>
    <row r="86" customFormat="false" ht="15" hidden="false" customHeight="false" outlineLevel="0" collapsed="false">
      <c r="A86" s="17" t="s">
        <v>182</v>
      </c>
      <c r="B86" s="17" t="s">
        <v>96</v>
      </c>
      <c r="C86" s="17" t="s">
        <v>103</v>
      </c>
      <c r="D86" s="17" t="s">
        <v>75</v>
      </c>
      <c r="E86" s="18" t="n">
        <v>2193120</v>
      </c>
      <c r="F86" s="19" t="n">
        <v>0.222</v>
      </c>
      <c r="G86" s="18" t="n">
        <v>90</v>
      </c>
      <c r="H86" s="18" t="n">
        <v>99</v>
      </c>
      <c r="I86" s="18" t="n">
        <v>108</v>
      </c>
      <c r="J86" s="18" t="n">
        <v>79423</v>
      </c>
      <c r="K86" s="18" t="n">
        <v>81633.5</v>
      </c>
      <c r="L86" s="18" t="n">
        <v>84460.3</v>
      </c>
      <c r="M86" s="18" t="n">
        <v>13</v>
      </c>
      <c r="N86" s="18" t="n">
        <v>5283.4</v>
      </c>
      <c r="O86" s="18" t="n">
        <v>58</v>
      </c>
    </row>
    <row r="87" customFormat="false" ht="15" hidden="false" customHeight="false" outlineLevel="0" collapsed="false">
      <c r="A87" s="17" t="s">
        <v>183</v>
      </c>
      <c r="B87" s="17" t="s">
        <v>98</v>
      </c>
      <c r="C87" s="17" t="s">
        <v>99</v>
      </c>
      <c r="D87" s="17" t="s">
        <v>75</v>
      </c>
      <c r="E87" s="18" t="n">
        <v>552266</v>
      </c>
      <c r="F87" s="19" t="n">
        <v>0.251</v>
      </c>
      <c r="G87" s="18" t="n">
        <v>7</v>
      </c>
      <c r="H87" s="18" t="n">
        <v>9</v>
      </c>
      <c r="I87" s="18" t="n">
        <v>9</v>
      </c>
      <c r="J87" s="18" t="n">
        <v>3418.9</v>
      </c>
      <c r="K87" s="18" t="n">
        <v>4197.1</v>
      </c>
      <c r="L87" s="18" t="n">
        <v>4346.5</v>
      </c>
      <c r="M87" s="18" t="n">
        <v>0</v>
      </c>
      <c r="N87" s="18" t="n">
        <v>0</v>
      </c>
      <c r="O87" s="18" t="n">
        <v>11</v>
      </c>
    </row>
    <row r="88" customFormat="false" ht="15" hidden="false" customHeight="false" outlineLevel="0" collapsed="false">
      <c r="A88" s="17" t="s">
        <v>184</v>
      </c>
      <c r="B88" s="17" t="s">
        <v>93</v>
      </c>
      <c r="C88" s="17" t="s">
        <v>106</v>
      </c>
      <c r="D88" s="17" t="s">
        <v>72</v>
      </c>
      <c r="E88" s="18" t="n">
        <v>4833855</v>
      </c>
      <c r="F88" s="19" t="n">
        <v>0.377</v>
      </c>
      <c r="G88" s="18" t="n">
        <v>631</v>
      </c>
      <c r="H88" s="18" t="n">
        <v>681</v>
      </c>
      <c r="I88" s="18" t="n">
        <v>748</v>
      </c>
      <c r="J88" s="18" t="n">
        <v>742770.4</v>
      </c>
      <c r="K88" s="18" t="n">
        <v>768890.1</v>
      </c>
      <c r="L88" s="18" t="n">
        <v>785425.1</v>
      </c>
      <c r="M88" s="18" t="n">
        <v>82</v>
      </c>
      <c r="N88" s="18" t="n">
        <v>28920.2</v>
      </c>
      <c r="O88" s="18" t="n">
        <v>299</v>
      </c>
    </row>
    <row r="89" customFormat="false" ht="15" hidden="false" customHeight="false" outlineLevel="0" collapsed="false">
      <c r="A89" s="17" t="s">
        <v>185</v>
      </c>
      <c r="B89" s="17" t="s">
        <v>98</v>
      </c>
      <c r="C89" s="17" t="s">
        <v>103</v>
      </c>
      <c r="D89" s="17" t="s">
        <v>75</v>
      </c>
      <c r="E89" s="18" t="n">
        <v>853152</v>
      </c>
      <c r="F89" s="19" t="n">
        <v>0.325</v>
      </c>
      <c r="G89" s="18" t="n">
        <v>15</v>
      </c>
      <c r="H89" s="18" t="n">
        <v>13</v>
      </c>
      <c r="I89" s="18" t="n">
        <v>18</v>
      </c>
      <c r="J89" s="18" t="n">
        <v>8982.2</v>
      </c>
      <c r="K89" s="18" t="n">
        <v>8128.8</v>
      </c>
      <c r="L89" s="18" t="n">
        <v>9294.3</v>
      </c>
      <c r="M89" s="18" t="n">
        <v>5</v>
      </c>
      <c r="N89" s="18" t="n">
        <v>1436.4</v>
      </c>
      <c r="O89" s="18" t="n">
        <v>59</v>
      </c>
    </row>
    <row r="90" customFormat="false" ht="15" hidden="false" customHeight="false" outlineLevel="0" collapsed="false">
      <c r="A90" s="17" t="s">
        <v>186</v>
      </c>
      <c r="B90" s="17" t="s">
        <v>101</v>
      </c>
      <c r="C90" s="17" t="s">
        <v>99</v>
      </c>
      <c r="D90" s="17" t="s">
        <v>74</v>
      </c>
      <c r="E90" s="18" t="n">
        <v>3378869</v>
      </c>
      <c r="F90" s="19" t="n">
        <v>0.416</v>
      </c>
      <c r="G90" s="18" t="n">
        <v>106</v>
      </c>
      <c r="H90" s="18" t="n">
        <v>110</v>
      </c>
      <c r="I90" s="18" t="n">
        <v>119</v>
      </c>
      <c r="J90" s="18" t="n">
        <v>79857.8</v>
      </c>
      <c r="K90" s="18" t="n">
        <v>82402.6</v>
      </c>
      <c r="L90" s="18" t="n">
        <v>81732.9</v>
      </c>
      <c r="M90" s="18" t="n">
        <v>12</v>
      </c>
      <c r="N90" s="18" t="n">
        <v>3954.1</v>
      </c>
      <c r="O90" s="18" t="n">
        <v>114</v>
      </c>
    </row>
    <row r="91" customFormat="false" ht="15" hidden="false" customHeight="false" outlineLevel="0" collapsed="false">
      <c r="A91" s="17" t="s">
        <v>187</v>
      </c>
      <c r="B91" s="17" t="s">
        <v>98</v>
      </c>
      <c r="C91" s="17" t="s">
        <v>103</v>
      </c>
      <c r="D91" s="17" t="s">
        <v>75</v>
      </c>
      <c r="E91" s="18" t="n">
        <v>840438</v>
      </c>
      <c r="F91" s="19" t="n">
        <v>0.26</v>
      </c>
      <c r="G91" s="18" t="n">
        <v>10</v>
      </c>
      <c r="H91" s="18" t="n">
        <v>11</v>
      </c>
      <c r="I91" s="18" t="n">
        <v>13</v>
      </c>
      <c r="J91" s="18" t="n">
        <v>5804.1</v>
      </c>
      <c r="K91" s="18" t="n">
        <v>5218.2</v>
      </c>
      <c r="L91" s="18" t="n">
        <v>5989.5</v>
      </c>
      <c r="M91" s="18" t="n">
        <v>2</v>
      </c>
      <c r="N91" s="18" t="n">
        <v>397.1</v>
      </c>
      <c r="O91" s="18" t="n">
        <v>28</v>
      </c>
    </row>
    <row r="92" customFormat="false" ht="15" hidden="false" customHeight="false" outlineLevel="0" collapsed="false">
      <c r="A92" s="17" t="s">
        <v>188</v>
      </c>
      <c r="B92" s="17" t="s">
        <v>98</v>
      </c>
      <c r="C92" s="17" t="s">
        <v>103</v>
      </c>
      <c r="D92" s="17" t="s">
        <v>75</v>
      </c>
      <c r="E92" s="18" t="n">
        <v>386793</v>
      </c>
      <c r="F92" s="19" t="n">
        <v>0.281</v>
      </c>
      <c r="G92" s="18" t="n">
        <v>7</v>
      </c>
      <c r="H92" s="18" t="n">
        <v>7</v>
      </c>
      <c r="I92" s="18" t="n">
        <v>7</v>
      </c>
      <c r="J92" s="18" t="n">
        <v>3965.5</v>
      </c>
      <c r="K92" s="18" t="n">
        <v>3989.5</v>
      </c>
      <c r="L92" s="18" t="n">
        <v>3611.9</v>
      </c>
      <c r="M92" s="18" t="n">
        <v>1</v>
      </c>
      <c r="N92" s="18" t="n">
        <v>166.8</v>
      </c>
      <c r="O92" s="18" t="n">
        <v>10</v>
      </c>
    </row>
    <row r="93" customFormat="false" ht="15" hidden="false" customHeight="false" outlineLevel="0" collapsed="false">
      <c r="A93" s="17" t="s">
        <v>189</v>
      </c>
      <c r="B93" s="17" t="s">
        <v>98</v>
      </c>
      <c r="C93" s="17" t="s">
        <v>103</v>
      </c>
      <c r="D93" s="17" t="s">
        <v>74</v>
      </c>
      <c r="E93" s="18" t="n">
        <v>2654202</v>
      </c>
      <c r="F93" s="19" t="n">
        <v>0.554</v>
      </c>
      <c r="G93" s="18" t="n">
        <v>91</v>
      </c>
      <c r="H93" s="18" t="n">
        <v>100</v>
      </c>
      <c r="I93" s="18" t="n">
        <v>107</v>
      </c>
      <c r="J93" s="18" t="n">
        <v>46478.3</v>
      </c>
      <c r="K93" s="18" t="n">
        <v>49684.5</v>
      </c>
      <c r="L93" s="18" t="n">
        <v>51725.7</v>
      </c>
      <c r="M93" s="18" t="n">
        <v>11</v>
      </c>
      <c r="N93" s="18" t="n">
        <v>3535.1</v>
      </c>
      <c r="O93" s="18" t="n">
        <v>180</v>
      </c>
    </row>
    <row r="94" customFormat="false" ht="15" hidden="false" customHeight="false" outlineLevel="0" collapsed="false">
      <c r="A94" s="17" t="s">
        <v>190</v>
      </c>
      <c r="B94" s="17" t="s">
        <v>96</v>
      </c>
      <c r="C94" s="17" t="s">
        <v>103</v>
      </c>
      <c r="D94" s="17" t="s">
        <v>73</v>
      </c>
      <c r="E94" s="18" t="n">
        <v>5701984</v>
      </c>
      <c r="F94" s="19" t="n">
        <v>0.315</v>
      </c>
      <c r="G94" s="18" t="n">
        <v>204</v>
      </c>
      <c r="H94" s="18" t="n">
        <v>217</v>
      </c>
      <c r="I94" s="18" t="n">
        <v>235</v>
      </c>
      <c r="J94" s="18" t="n">
        <v>197595</v>
      </c>
      <c r="K94" s="18" t="n">
        <v>202337.2</v>
      </c>
      <c r="L94" s="18" t="n">
        <v>203178.8</v>
      </c>
      <c r="M94" s="18" t="n">
        <v>22</v>
      </c>
      <c r="N94" s="18" t="n">
        <v>9311.1</v>
      </c>
      <c r="O94" s="18" t="n">
        <v>241</v>
      </c>
    </row>
    <row r="95" customFormat="false" ht="15" hidden="false" customHeight="false" outlineLevel="0" collapsed="false">
      <c r="A95" s="17" t="s">
        <v>191</v>
      </c>
      <c r="B95" s="17" t="s">
        <v>96</v>
      </c>
      <c r="C95" s="17" t="s">
        <v>103</v>
      </c>
      <c r="D95" s="17" t="s">
        <v>73</v>
      </c>
      <c r="E95" s="18" t="n">
        <v>2452076</v>
      </c>
      <c r="F95" s="19" t="n">
        <v>0.28</v>
      </c>
      <c r="G95" s="18" t="n">
        <v>73</v>
      </c>
      <c r="H95" s="18" t="n">
        <v>78</v>
      </c>
      <c r="I95" s="18" t="n">
        <v>86</v>
      </c>
      <c r="J95" s="18" t="n">
        <v>63821.5</v>
      </c>
      <c r="K95" s="18" t="n">
        <v>64775.1</v>
      </c>
      <c r="L95" s="18" t="n">
        <v>67303.9</v>
      </c>
      <c r="M95" s="18" t="n">
        <v>14</v>
      </c>
      <c r="N95" s="18" t="n">
        <v>8762</v>
      </c>
      <c r="O95" s="18" t="n">
        <v>70</v>
      </c>
    </row>
    <row r="96" customFormat="false" ht="15" hidden="false" customHeight="false" outlineLevel="0" collapsed="false">
      <c r="A96" s="17" t="s">
        <v>192</v>
      </c>
      <c r="B96" s="17" t="s">
        <v>96</v>
      </c>
      <c r="C96" s="17" t="s">
        <v>94</v>
      </c>
      <c r="D96" s="17" t="s">
        <v>72</v>
      </c>
      <c r="E96" s="18" t="n">
        <v>6247225</v>
      </c>
      <c r="F96" s="19" t="n">
        <v>0.568</v>
      </c>
      <c r="G96" s="18" t="n">
        <v>994</v>
      </c>
      <c r="H96" s="18" t="n">
        <v>1067</v>
      </c>
      <c r="I96" s="18" t="n">
        <v>1148</v>
      </c>
      <c r="J96" s="18" t="n">
        <v>1028607</v>
      </c>
      <c r="K96" s="18" t="n">
        <v>1041348.2</v>
      </c>
      <c r="L96" s="18" t="n">
        <v>1033311.3</v>
      </c>
      <c r="M96" s="18" t="n">
        <v>133</v>
      </c>
      <c r="N96" s="18" t="n">
        <v>59425.8</v>
      </c>
      <c r="O96" s="18" t="n">
        <v>664</v>
      </c>
    </row>
    <row r="97" customFormat="false" ht="15" hidden="false" customHeight="false" outlineLevel="0" collapsed="false">
      <c r="A97" s="17" t="s">
        <v>193</v>
      </c>
      <c r="B97" s="17" t="s">
        <v>96</v>
      </c>
      <c r="C97" s="17" t="s">
        <v>103</v>
      </c>
      <c r="D97" s="17" t="s">
        <v>73</v>
      </c>
      <c r="E97" s="18" t="n">
        <v>2948352</v>
      </c>
      <c r="F97" s="19" t="n">
        <v>0.268</v>
      </c>
      <c r="G97" s="18" t="n">
        <v>149</v>
      </c>
      <c r="H97" s="18" t="n">
        <v>164</v>
      </c>
      <c r="I97" s="18" t="n">
        <v>166</v>
      </c>
      <c r="J97" s="18" t="n">
        <v>137977.2</v>
      </c>
      <c r="K97" s="18" t="n">
        <v>146136.9</v>
      </c>
      <c r="L97" s="18" t="n">
        <v>141229.4</v>
      </c>
      <c r="M97" s="18" t="n">
        <v>15</v>
      </c>
      <c r="N97" s="18" t="n">
        <v>8980.7</v>
      </c>
      <c r="O97" s="18" t="n">
        <v>36</v>
      </c>
    </row>
    <row r="98" customFormat="false" ht="15" hidden="false" customHeight="false" outlineLevel="0" collapsed="false">
      <c r="A98" s="17" t="s">
        <v>194</v>
      </c>
      <c r="B98" s="17" t="s">
        <v>101</v>
      </c>
      <c r="C98" s="17" t="s">
        <v>99</v>
      </c>
      <c r="D98" s="17" t="s">
        <v>73</v>
      </c>
      <c r="E98" s="18" t="n">
        <v>2354634</v>
      </c>
      <c r="F98" s="19" t="n">
        <v>0.237</v>
      </c>
      <c r="G98" s="18" t="n">
        <v>97</v>
      </c>
      <c r="H98" s="18" t="n">
        <v>104</v>
      </c>
      <c r="I98" s="18" t="n">
        <v>121</v>
      </c>
      <c r="J98" s="18" t="n">
        <v>77897.4</v>
      </c>
      <c r="K98" s="18" t="n">
        <v>81864.8</v>
      </c>
      <c r="L98" s="18" t="n">
        <v>93041</v>
      </c>
      <c r="M98" s="18" t="n">
        <v>18</v>
      </c>
      <c r="N98" s="18" t="n">
        <v>10799.3</v>
      </c>
      <c r="O98" s="18" t="n">
        <v>29</v>
      </c>
    </row>
    <row r="99" customFormat="false" ht="15" hidden="false" customHeight="false" outlineLevel="0" collapsed="false">
      <c r="A99" s="17" t="s">
        <v>195</v>
      </c>
      <c r="B99" s="17" t="s">
        <v>96</v>
      </c>
      <c r="C99" s="17" t="s">
        <v>121</v>
      </c>
      <c r="D99" s="17" t="s">
        <v>72</v>
      </c>
      <c r="E99" s="18" t="n">
        <v>4451045</v>
      </c>
      <c r="F99" s="19" t="n">
        <v>0.422</v>
      </c>
      <c r="G99" s="18" t="n">
        <v>321</v>
      </c>
      <c r="H99" s="18" t="n">
        <v>340</v>
      </c>
      <c r="I99" s="18" t="n">
        <v>357</v>
      </c>
      <c r="J99" s="18" t="n">
        <v>331553.1</v>
      </c>
      <c r="K99" s="18" t="n">
        <v>341481.8</v>
      </c>
      <c r="L99" s="18" t="n">
        <v>332050</v>
      </c>
      <c r="M99" s="18" t="n">
        <v>39</v>
      </c>
      <c r="N99" s="18" t="n">
        <v>14707</v>
      </c>
      <c r="O99" s="18" t="n">
        <v>108</v>
      </c>
    </row>
    <row r="100" customFormat="false" ht="15" hidden="false" customHeight="false" outlineLevel="0" collapsed="false">
      <c r="A100" s="17" t="s">
        <v>196</v>
      </c>
      <c r="B100" s="17" t="s">
        <v>93</v>
      </c>
      <c r="C100" s="17" t="s">
        <v>94</v>
      </c>
      <c r="D100" s="17" t="s">
        <v>75</v>
      </c>
      <c r="E100" s="18" t="n">
        <v>915316</v>
      </c>
      <c r="F100" s="19" t="n">
        <v>0.08</v>
      </c>
      <c r="G100" s="18" t="n">
        <v>10</v>
      </c>
      <c r="H100" s="18" t="n">
        <v>9</v>
      </c>
      <c r="I100" s="18" t="n">
        <v>9</v>
      </c>
      <c r="J100" s="18" t="n">
        <v>8615.4</v>
      </c>
      <c r="K100" s="18" t="n">
        <v>8223.5</v>
      </c>
      <c r="L100" s="18" t="n">
        <v>7989.6</v>
      </c>
      <c r="M100" s="18" t="n">
        <v>0</v>
      </c>
      <c r="N100" s="18" t="n">
        <v>0</v>
      </c>
      <c r="O100" s="18" t="n">
        <v>10</v>
      </c>
    </row>
    <row r="101" customFormat="false" ht="15" hidden="false" customHeight="false" outlineLevel="0" collapsed="false">
      <c r="A101" s="17" t="s">
        <v>197</v>
      </c>
      <c r="B101" s="17" t="s">
        <v>96</v>
      </c>
      <c r="C101" s="17" t="s">
        <v>121</v>
      </c>
      <c r="D101" s="17" t="s">
        <v>72</v>
      </c>
      <c r="E101" s="18" t="n">
        <v>5843733</v>
      </c>
      <c r="F101" s="19" t="n">
        <v>0.279</v>
      </c>
      <c r="G101" s="18" t="n">
        <v>543</v>
      </c>
      <c r="H101" s="18" t="n">
        <v>576</v>
      </c>
      <c r="I101" s="18" t="n">
        <v>613</v>
      </c>
      <c r="J101" s="18" t="n">
        <v>577330.8</v>
      </c>
      <c r="K101" s="18" t="n">
        <v>584399.8</v>
      </c>
      <c r="L101" s="18" t="n">
        <v>578102.8</v>
      </c>
      <c r="M101" s="18" t="n">
        <v>62</v>
      </c>
      <c r="N101" s="18" t="n">
        <v>27413.3</v>
      </c>
      <c r="O101" s="18" t="n">
        <v>231</v>
      </c>
    </row>
    <row r="102" customFormat="false" ht="15" hidden="false" customHeight="false" outlineLevel="0" collapsed="false">
      <c r="A102" s="17" t="s">
        <v>198</v>
      </c>
      <c r="B102" s="17" t="s">
        <v>101</v>
      </c>
      <c r="C102" s="17" t="s">
        <v>99</v>
      </c>
      <c r="D102" s="17" t="s">
        <v>75</v>
      </c>
      <c r="E102" s="18" t="n">
        <v>1413530</v>
      </c>
      <c r="F102" s="19" t="n">
        <v>0.213</v>
      </c>
      <c r="G102" s="18" t="n">
        <v>18</v>
      </c>
      <c r="H102" s="18" t="n">
        <v>20</v>
      </c>
      <c r="I102" s="18" t="n">
        <v>22</v>
      </c>
      <c r="J102" s="18" t="n">
        <v>10404.3</v>
      </c>
      <c r="K102" s="18" t="n">
        <v>10931.1</v>
      </c>
      <c r="L102" s="18" t="n">
        <v>11145.7</v>
      </c>
      <c r="M102" s="18" t="n">
        <v>3</v>
      </c>
      <c r="N102" s="18" t="n">
        <v>828.2</v>
      </c>
      <c r="O102" s="18" t="n">
        <v>25</v>
      </c>
    </row>
    <row r="103" customFormat="false" ht="15" hidden="false" customHeight="false" outlineLevel="0" collapsed="false">
      <c r="A103" s="17" t="s">
        <v>199</v>
      </c>
      <c r="B103" s="17" t="s">
        <v>96</v>
      </c>
      <c r="C103" s="17" t="s">
        <v>121</v>
      </c>
      <c r="D103" s="17" t="s">
        <v>72</v>
      </c>
      <c r="E103" s="18" t="n">
        <v>4608909</v>
      </c>
      <c r="F103" s="19" t="n">
        <v>0.344</v>
      </c>
      <c r="G103" s="18" t="n">
        <v>916</v>
      </c>
      <c r="H103" s="18" t="n">
        <v>1000</v>
      </c>
      <c r="I103" s="18" t="n">
        <v>1093</v>
      </c>
      <c r="J103" s="18" t="n">
        <v>1105248</v>
      </c>
      <c r="K103" s="18" t="n">
        <v>1156753.1</v>
      </c>
      <c r="L103" s="18" t="n">
        <v>1209694.4</v>
      </c>
      <c r="M103" s="18" t="n">
        <v>125</v>
      </c>
      <c r="N103" s="18" t="n">
        <v>90315.3</v>
      </c>
      <c r="O103" s="18" t="n">
        <v>212</v>
      </c>
    </row>
    <row r="104" customFormat="false" ht="15" hidden="false" customHeight="false" outlineLevel="0" collapsed="false">
      <c r="A104" s="17" t="s">
        <v>200</v>
      </c>
      <c r="B104" s="17" t="s">
        <v>98</v>
      </c>
      <c r="C104" s="17" t="s">
        <v>103</v>
      </c>
      <c r="D104" s="17" t="s">
        <v>75</v>
      </c>
      <c r="E104" s="18" t="n">
        <v>366045</v>
      </c>
      <c r="F104" s="19" t="n">
        <v>0.331</v>
      </c>
      <c r="G104" s="18" t="n">
        <v>5</v>
      </c>
      <c r="H104" s="18" t="n">
        <v>5</v>
      </c>
      <c r="I104" s="18" t="n">
        <v>6</v>
      </c>
      <c r="J104" s="18" t="n">
        <v>3111.3</v>
      </c>
      <c r="K104" s="18" t="n">
        <v>2870.6</v>
      </c>
      <c r="L104" s="18" t="n">
        <v>2895.9</v>
      </c>
      <c r="M104" s="18" t="n">
        <v>1</v>
      </c>
      <c r="N104" s="18" t="n">
        <v>247.3</v>
      </c>
      <c r="O104" s="18" t="n">
        <v>11</v>
      </c>
    </row>
    <row r="105" customFormat="false" ht="15" hidden="false" customHeight="false" outlineLevel="0" collapsed="false">
      <c r="A105" s="17" t="s">
        <v>201</v>
      </c>
      <c r="B105" s="17" t="s">
        <v>93</v>
      </c>
      <c r="C105" s="17" t="s">
        <v>103</v>
      </c>
      <c r="D105" s="17" t="s">
        <v>75</v>
      </c>
      <c r="E105" s="18" t="n">
        <v>930309</v>
      </c>
      <c r="F105" s="19" t="n">
        <v>0.126</v>
      </c>
      <c r="G105" s="18" t="n">
        <v>6</v>
      </c>
      <c r="H105" s="18" t="n">
        <v>7</v>
      </c>
      <c r="I105" s="18" t="n">
        <v>9</v>
      </c>
      <c r="J105" s="18" t="n">
        <v>5505.8</v>
      </c>
      <c r="K105" s="18" t="n">
        <v>5203</v>
      </c>
      <c r="L105" s="18" t="n">
        <v>7395.7</v>
      </c>
      <c r="M105" s="18" t="n">
        <v>2</v>
      </c>
      <c r="N105" s="18" t="n">
        <v>859.3</v>
      </c>
      <c r="O105" s="18" t="n">
        <v>13</v>
      </c>
    </row>
    <row r="106" customFormat="false" ht="15" hidden="false" customHeight="false" outlineLevel="0" collapsed="false">
      <c r="A106" s="17" t="s">
        <v>202</v>
      </c>
      <c r="B106" s="17" t="s">
        <v>101</v>
      </c>
      <c r="C106" s="17" t="s">
        <v>99</v>
      </c>
      <c r="D106" s="17" t="s">
        <v>74</v>
      </c>
      <c r="E106" s="18" t="n">
        <v>1666611</v>
      </c>
      <c r="F106" s="19" t="n">
        <v>0.449</v>
      </c>
      <c r="G106" s="18" t="n">
        <v>67</v>
      </c>
      <c r="H106" s="18" t="n">
        <v>68</v>
      </c>
      <c r="I106" s="18" t="n">
        <v>74</v>
      </c>
      <c r="J106" s="18" t="n">
        <v>55711.6</v>
      </c>
      <c r="K106" s="18" t="n">
        <v>54399.5</v>
      </c>
      <c r="L106" s="18" t="n">
        <v>53411.3</v>
      </c>
      <c r="M106" s="18" t="n">
        <v>6</v>
      </c>
      <c r="N106" s="18" t="n">
        <v>2026.5</v>
      </c>
      <c r="O106" s="18" t="n">
        <v>126</v>
      </c>
    </row>
    <row r="107" customFormat="false" ht="15" hidden="false" customHeight="false" outlineLevel="0" collapsed="false">
      <c r="A107" s="17" t="s">
        <v>203</v>
      </c>
      <c r="B107" s="17" t="s">
        <v>93</v>
      </c>
      <c r="C107" s="17" t="s">
        <v>94</v>
      </c>
      <c r="D107" s="17" t="s">
        <v>73</v>
      </c>
      <c r="E107" s="18" t="n">
        <v>1943594</v>
      </c>
      <c r="F107" s="19" t="n">
        <v>0.32</v>
      </c>
      <c r="G107" s="18" t="n">
        <v>264</v>
      </c>
      <c r="H107" s="18" t="n">
        <v>274</v>
      </c>
      <c r="I107" s="18" t="n">
        <v>298</v>
      </c>
      <c r="J107" s="18" t="n">
        <v>194315.4</v>
      </c>
      <c r="K107" s="18" t="n">
        <v>193422.5</v>
      </c>
      <c r="L107" s="18" t="n">
        <v>195190.3</v>
      </c>
      <c r="M107" s="18" t="n">
        <v>33</v>
      </c>
      <c r="N107" s="18" t="n">
        <v>15353.6</v>
      </c>
      <c r="O107" s="18" t="n">
        <v>85</v>
      </c>
    </row>
    <row r="108" customFormat="false" ht="15" hidden="false" customHeight="false" outlineLevel="0" collapsed="false">
      <c r="A108" s="17" t="s">
        <v>204</v>
      </c>
      <c r="B108" s="17" t="s">
        <v>93</v>
      </c>
      <c r="C108" s="17" t="s">
        <v>106</v>
      </c>
      <c r="D108" s="17" t="s">
        <v>74</v>
      </c>
      <c r="E108" s="18" t="n">
        <v>2756289</v>
      </c>
      <c r="F108" s="19" t="n">
        <v>0.295</v>
      </c>
      <c r="G108" s="18" t="n">
        <v>88</v>
      </c>
      <c r="H108" s="18" t="n">
        <v>97</v>
      </c>
      <c r="I108" s="18" t="n">
        <v>102</v>
      </c>
      <c r="J108" s="18" t="n">
        <v>63642.9</v>
      </c>
      <c r="K108" s="18" t="n">
        <v>66071.2</v>
      </c>
      <c r="L108" s="18" t="n">
        <v>68365.9</v>
      </c>
      <c r="M108" s="18" t="n">
        <v>11</v>
      </c>
      <c r="N108" s="18" t="n">
        <v>5785</v>
      </c>
      <c r="O108" s="18" t="n">
        <v>123</v>
      </c>
    </row>
    <row r="109" customFormat="false" ht="15" hidden="false" customHeight="false" outlineLevel="0" collapsed="false">
      <c r="A109" s="17" t="s">
        <v>205</v>
      </c>
      <c r="B109" s="17" t="s">
        <v>101</v>
      </c>
      <c r="C109" s="17" t="s">
        <v>99</v>
      </c>
      <c r="D109" s="17" t="s">
        <v>72</v>
      </c>
      <c r="E109" s="18" t="n">
        <v>936709</v>
      </c>
      <c r="F109" s="19" t="n">
        <v>0.288</v>
      </c>
      <c r="G109" s="18" t="n">
        <v>91</v>
      </c>
      <c r="H109" s="18" t="n">
        <v>99</v>
      </c>
      <c r="I109" s="18" t="n">
        <v>107</v>
      </c>
      <c r="J109" s="18" t="n">
        <v>108175.1</v>
      </c>
      <c r="K109" s="18" t="n">
        <v>107362.4</v>
      </c>
      <c r="L109" s="18" t="n">
        <v>110456.7</v>
      </c>
      <c r="M109" s="18" t="n">
        <v>11</v>
      </c>
      <c r="N109" s="18" t="n">
        <v>5430.4</v>
      </c>
      <c r="O109" s="18" t="n">
        <v>14</v>
      </c>
    </row>
    <row r="110" customFormat="false" ht="15" hidden="false" customHeight="false" outlineLevel="0" collapsed="false">
      <c r="A110" s="17" t="s">
        <v>206</v>
      </c>
      <c r="B110" s="17" t="s">
        <v>101</v>
      </c>
      <c r="C110" s="17" t="s">
        <v>99</v>
      </c>
      <c r="D110" s="17" t="s">
        <v>73</v>
      </c>
      <c r="E110" s="18" t="n">
        <v>1009999</v>
      </c>
      <c r="F110" s="19" t="n">
        <v>0.248</v>
      </c>
      <c r="G110" s="18" t="n">
        <v>65</v>
      </c>
      <c r="H110" s="18" t="n">
        <v>80</v>
      </c>
      <c r="I110" s="18" t="n">
        <v>87</v>
      </c>
      <c r="J110" s="18" t="n">
        <v>48524.3</v>
      </c>
      <c r="K110" s="18" t="n">
        <v>56909.7</v>
      </c>
      <c r="L110" s="18" t="n">
        <v>61231.9</v>
      </c>
      <c r="M110" s="18" t="n">
        <v>12</v>
      </c>
      <c r="N110" s="18" t="n">
        <v>5863.4</v>
      </c>
      <c r="O110" s="18" t="n">
        <v>23</v>
      </c>
    </row>
    <row r="111" customFormat="false" ht="15" hidden="false" customHeight="false" outlineLevel="0" collapsed="false">
      <c r="A111" s="17" t="s">
        <v>207</v>
      </c>
      <c r="B111" s="17" t="s">
        <v>93</v>
      </c>
      <c r="C111" s="17" t="s">
        <v>106</v>
      </c>
      <c r="D111" s="17" t="s">
        <v>75</v>
      </c>
      <c r="E111" s="18" t="n">
        <v>477916</v>
      </c>
      <c r="F111" s="19" t="n">
        <v>0.197</v>
      </c>
      <c r="G111" s="18" t="n">
        <v>6</v>
      </c>
      <c r="H111" s="18" t="n">
        <v>6</v>
      </c>
      <c r="I111" s="18" t="n">
        <v>7</v>
      </c>
      <c r="J111" s="18" t="n">
        <v>3738.5</v>
      </c>
      <c r="K111" s="18" t="n">
        <v>3748.6</v>
      </c>
      <c r="L111" s="18" t="n">
        <v>3935</v>
      </c>
      <c r="M111" s="18" t="n">
        <v>1</v>
      </c>
      <c r="N111" s="18" t="n">
        <v>425</v>
      </c>
      <c r="O111" s="18" t="n">
        <v>21</v>
      </c>
    </row>
    <row r="112" customFormat="false" ht="15" hidden="false" customHeight="false" outlineLevel="0" collapsed="false">
      <c r="A112" s="17" t="s">
        <v>208</v>
      </c>
      <c r="B112" s="17" t="s">
        <v>101</v>
      </c>
      <c r="C112" s="17" t="s">
        <v>99</v>
      </c>
      <c r="D112" s="17" t="s">
        <v>75</v>
      </c>
      <c r="E112" s="18" t="n">
        <v>1801295</v>
      </c>
      <c r="F112" s="19" t="n">
        <v>0.235</v>
      </c>
      <c r="G112" s="18" t="n">
        <v>40</v>
      </c>
      <c r="H112" s="18" t="n">
        <v>46</v>
      </c>
      <c r="I112" s="18" t="n">
        <v>47</v>
      </c>
      <c r="J112" s="18" t="n">
        <v>13974.1</v>
      </c>
      <c r="K112" s="18" t="n">
        <v>15207.3</v>
      </c>
      <c r="L112" s="18" t="n">
        <v>15911.9</v>
      </c>
      <c r="M112" s="18" t="n">
        <v>2</v>
      </c>
      <c r="N112" s="18" t="n">
        <v>315</v>
      </c>
      <c r="O112" s="18" t="n">
        <v>45</v>
      </c>
    </row>
    <row r="113" customFormat="false" ht="15" hidden="false" customHeight="false" outlineLevel="0" collapsed="false">
      <c r="A113" s="17" t="s">
        <v>209</v>
      </c>
      <c r="B113" s="17" t="s">
        <v>101</v>
      </c>
      <c r="C113" s="17" t="s">
        <v>99</v>
      </c>
      <c r="D113" s="17" t="s">
        <v>73</v>
      </c>
      <c r="E113" s="18" t="n">
        <v>1950763</v>
      </c>
      <c r="F113" s="19" t="n">
        <v>0.217</v>
      </c>
      <c r="G113" s="18" t="n">
        <v>67</v>
      </c>
      <c r="H113" s="18" t="n">
        <v>75</v>
      </c>
      <c r="I113" s="18" t="n">
        <v>92</v>
      </c>
      <c r="J113" s="18" t="n">
        <v>58317.2</v>
      </c>
      <c r="K113" s="18" t="n">
        <v>65678.9</v>
      </c>
      <c r="L113" s="18" t="n">
        <v>78122</v>
      </c>
      <c r="M113" s="18" t="n">
        <v>18</v>
      </c>
      <c r="N113" s="18" t="n">
        <v>7652.5</v>
      </c>
      <c r="O113" s="18" t="n">
        <v>34</v>
      </c>
    </row>
    <row r="114" customFormat="false" ht="15" hidden="false" customHeight="false" outlineLevel="0" collapsed="false">
      <c r="A114" s="17" t="s">
        <v>210</v>
      </c>
      <c r="B114" s="17" t="s">
        <v>96</v>
      </c>
      <c r="C114" s="17" t="s">
        <v>103</v>
      </c>
      <c r="D114" s="17" t="s">
        <v>73</v>
      </c>
      <c r="E114" s="18" t="n">
        <v>2584369</v>
      </c>
      <c r="F114" s="19" t="n">
        <v>0.296</v>
      </c>
      <c r="G114" s="18" t="n">
        <v>125</v>
      </c>
      <c r="H114" s="18" t="n">
        <v>136</v>
      </c>
      <c r="I114" s="18" t="n">
        <v>148</v>
      </c>
      <c r="J114" s="18" t="n">
        <v>167983.3</v>
      </c>
      <c r="K114" s="18" t="n">
        <v>167520.9</v>
      </c>
      <c r="L114" s="18" t="n">
        <v>171611.6</v>
      </c>
      <c r="M114" s="18" t="n">
        <v>16</v>
      </c>
      <c r="N114" s="18" t="n">
        <v>14377.9</v>
      </c>
      <c r="O114" s="18" t="n">
        <v>38</v>
      </c>
    </row>
    <row r="115" customFormat="false" ht="15" hidden="false" customHeight="false" outlineLevel="0" collapsed="false">
      <c r="A115" s="17" t="s">
        <v>211</v>
      </c>
      <c r="B115" s="17" t="s">
        <v>101</v>
      </c>
      <c r="C115" s="17" t="s">
        <v>99</v>
      </c>
      <c r="D115" s="17" t="s">
        <v>75</v>
      </c>
      <c r="E115" s="18" t="n">
        <v>1174886</v>
      </c>
      <c r="F115" s="19" t="n">
        <v>0.227</v>
      </c>
      <c r="G115" s="18" t="n">
        <v>21</v>
      </c>
      <c r="H115" s="18" t="n">
        <v>24</v>
      </c>
      <c r="I115" s="18" t="n">
        <v>27</v>
      </c>
      <c r="J115" s="18" t="n">
        <v>9642.1</v>
      </c>
      <c r="K115" s="18" t="n">
        <v>9962.7</v>
      </c>
      <c r="L115" s="18" t="n">
        <v>11110</v>
      </c>
      <c r="M115" s="18" t="n">
        <v>3</v>
      </c>
      <c r="N115" s="18" t="n">
        <v>647.2</v>
      </c>
      <c r="O115" s="18" t="n">
        <v>43</v>
      </c>
    </row>
    <row r="116" customFormat="false" ht="15" hidden="false" customHeight="false" outlineLevel="0" collapsed="false">
      <c r="A116" s="17" t="s">
        <v>212</v>
      </c>
      <c r="B116" s="17" t="s">
        <v>93</v>
      </c>
      <c r="C116" s="17" t="s">
        <v>106</v>
      </c>
      <c r="D116" s="17" t="s">
        <v>75</v>
      </c>
      <c r="E116" s="18" t="n">
        <v>1108087</v>
      </c>
      <c r="F116" s="19" t="n">
        <v>0.113</v>
      </c>
      <c r="G116" s="18" t="n">
        <v>17</v>
      </c>
      <c r="H116" s="18" t="n">
        <v>17</v>
      </c>
      <c r="I116" s="18" t="n">
        <v>19</v>
      </c>
      <c r="J116" s="18" t="n">
        <v>11049.4</v>
      </c>
      <c r="K116" s="18" t="n">
        <v>10412.8</v>
      </c>
      <c r="L116" s="18" t="n">
        <v>10654.6</v>
      </c>
      <c r="M116" s="18" t="n">
        <v>2</v>
      </c>
      <c r="N116" s="18" t="n">
        <v>718</v>
      </c>
      <c r="O116" s="18" t="n">
        <v>11</v>
      </c>
    </row>
    <row r="117" customFormat="false" ht="15" hidden="false" customHeight="false" outlineLevel="0" collapsed="false">
      <c r="A117" s="17" t="s">
        <v>213</v>
      </c>
      <c r="B117" s="17" t="s">
        <v>96</v>
      </c>
      <c r="C117" s="17" t="s">
        <v>103</v>
      </c>
      <c r="D117" s="17" t="s">
        <v>73</v>
      </c>
      <c r="E117" s="18" t="n">
        <v>3527399</v>
      </c>
      <c r="F117" s="19" t="n">
        <v>0.233</v>
      </c>
      <c r="G117" s="18" t="n">
        <v>132</v>
      </c>
      <c r="H117" s="18" t="n">
        <v>145</v>
      </c>
      <c r="I117" s="18" t="n">
        <v>161</v>
      </c>
      <c r="J117" s="18" t="n">
        <v>107007.4</v>
      </c>
      <c r="K117" s="18" t="n">
        <v>110828.3</v>
      </c>
      <c r="L117" s="18" t="n">
        <v>115802.6</v>
      </c>
      <c r="M117" s="18" t="n">
        <v>24</v>
      </c>
      <c r="N117" s="18" t="n">
        <v>10737.7</v>
      </c>
      <c r="O117" s="18" t="n">
        <v>129</v>
      </c>
    </row>
    <row r="118" customFormat="false" ht="15" hidden="false" customHeight="false" outlineLevel="0" collapsed="false">
      <c r="A118" s="17" t="s">
        <v>214</v>
      </c>
      <c r="B118" s="17" t="s">
        <v>98</v>
      </c>
      <c r="C118" s="17" t="s">
        <v>103</v>
      </c>
      <c r="D118" s="17" t="s">
        <v>75</v>
      </c>
      <c r="E118" s="18" t="n">
        <v>562804</v>
      </c>
      <c r="F118" s="19" t="n">
        <v>0.154</v>
      </c>
      <c r="G118" s="18" t="n">
        <v>5</v>
      </c>
      <c r="H118" s="18" t="n">
        <v>5</v>
      </c>
      <c r="I118" s="18" t="n">
        <v>5</v>
      </c>
      <c r="J118" s="18" t="n">
        <v>3369</v>
      </c>
      <c r="K118" s="18" t="n">
        <v>3545.6</v>
      </c>
      <c r="L118" s="18" t="n">
        <v>3360.9</v>
      </c>
      <c r="M118" s="18" t="n">
        <v>0</v>
      </c>
      <c r="N118" s="18" t="n">
        <v>0</v>
      </c>
      <c r="O118" s="18" t="n">
        <v>12</v>
      </c>
    </row>
    <row r="119" customFormat="false" ht="15" hidden="false" customHeight="false" outlineLevel="0" collapsed="false">
      <c r="A119" s="17" t="s">
        <v>215</v>
      </c>
      <c r="B119" s="17" t="s">
        <v>98</v>
      </c>
      <c r="C119" s="17" t="s">
        <v>103</v>
      </c>
      <c r="D119" s="17" t="s">
        <v>75</v>
      </c>
      <c r="E119" s="18" t="n">
        <v>194942</v>
      </c>
      <c r="F119" s="19" t="n">
        <v>0.232</v>
      </c>
      <c r="G119" s="18" t="n">
        <v>3</v>
      </c>
      <c r="H119" s="18" t="n">
        <v>3</v>
      </c>
      <c r="I119" s="18" t="n">
        <v>3</v>
      </c>
      <c r="J119" s="18" t="n">
        <v>907.8</v>
      </c>
      <c r="K119" s="18" t="n">
        <v>855.5</v>
      </c>
      <c r="L119" s="18" t="n">
        <v>806.3</v>
      </c>
      <c r="M119" s="18" t="n">
        <v>0</v>
      </c>
      <c r="N119" s="18" t="n">
        <v>0</v>
      </c>
      <c r="O119" s="1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6"/>
    <col collapsed="false" customWidth="true" hidden="false" outlineLevel="0" max="20" min="4" style="0" width="14"/>
    <col collapsed="false" customWidth="true" hidden="false" outlineLevel="0" max="21" min="21" style="0" width="16"/>
    <col collapsed="false" customWidth="true" hidden="false" outlineLevel="0" max="22" min="22" style="0" width="30"/>
    <col collapsed="false" customWidth="true" hidden="false" outlineLevel="0" max="26" min="23" style="0" width="14"/>
    <col collapsed="false" customWidth="true" hidden="false" outlineLevel="0" max="27" min="27" style="0" width="24"/>
    <col collapsed="false" customWidth="true" hidden="false" outlineLevel="0" max="28" min="28" style="0" width="14"/>
    <col collapsed="false" customWidth="true" hidden="false" outlineLevel="0" max="29" min="29" style="0" width="20"/>
    <col collapsed="false" customWidth="true" hidden="false" outlineLevel="0" max="35" min="30" style="0" width="14"/>
    <col collapsed="false" customWidth="true" hidden="false" outlineLevel="0" max="36" min="36" style="0" width="34"/>
    <col collapsed="false" customWidth="true" hidden="false" outlineLevel="0" max="58" min="37" style="0" width="14"/>
  </cols>
  <sheetData>
    <row r="1" customFormat="false" ht="17.35" hidden="false" customHeight="false" outlineLevel="0" collapsed="false">
      <c r="A1" s="1" t="s">
        <v>216</v>
      </c>
    </row>
    <row r="2" customFormat="false" ht="15" hidden="false" customHeight="false" outlineLevel="0" collapsed="false">
      <c r="C2" s="3" t="s">
        <v>217</v>
      </c>
      <c r="D2" s="20" t="n">
        <f aca="false">SUM(F5:F119)/SUM(D5:D119)</f>
        <v>0.431237029213185</v>
      </c>
      <c r="E2" s="3" t="s">
        <v>218</v>
      </c>
      <c r="F2" s="21" t="n">
        <f aca="false">SUM(AK5:AK119)</f>
        <v>6765</v>
      </c>
    </row>
    <row r="4" customFormat="false" ht="45" hidden="false" customHeight="true" outlineLevel="0" collapsed="false">
      <c r="A4" s="16" t="s">
        <v>77</v>
      </c>
      <c r="B4" s="16" t="s">
        <v>79</v>
      </c>
      <c r="C4" s="16" t="s">
        <v>80</v>
      </c>
      <c r="D4" s="16" t="s">
        <v>219</v>
      </c>
      <c r="E4" s="16" t="s">
        <v>220</v>
      </c>
      <c r="F4" s="16" t="s">
        <v>88</v>
      </c>
      <c r="G4" s="16" t="s">
        <v>221</v>
      </c>
      <c r="H4" s="16" t="s">
        <v>222</v>
      </c>
      <c r="I4" s="16" t="s">
        <v>223</v>
      </c>
      <c r="J4" s="16" t="s">
        <v>224</v>
      </c>
      <c r="K4" s="16" t="s">
        <v>225</v>
      </c>
      <c r="L4" s="16" t="s">
        <v>226</v>
      </c>
      <c r="M4" s="16" t="s">
        <v>227</v>
      </c>
      <c r="N4" s="16" t="s">
        <v>228</v>
      </c>
      <c r="O4" s="16" t="s">
        <v>229</v>
      </c>
      <c r="P4" s="16" t="s">
        <v>230</v>
      </c>
      <c r="Q4" s="16" t="s">
        <v>231</v>
      </c>
      <c r="R4" s="16" t="s">
        <v>232</v>
      </c>
      <c r="S4" s="16" t="s">
        <v>233</v>
      </c>
      <c r="T4" s="16" t="s">
        <v>234</v>
      </c>
      <c r="U4" s="16" t="s">
        <v>235</v>
      </c>
      <c r="V4" s="16" t="s">
        <v>236</v>
      </c>
      <c r="W4" s="16" t="s">
        <v>237</v>
      </c>
      <c r="X4" s="16" t="s">
        <v>238</v>
      </c>
      <c r="Y4" s="16" t="s">
        <v>239</v>
      </c>
      <c r="Z4" s="16" t="s">
        <v>240</v>
      </c>
      <c r="AA4" s="16" t="s">
        <v>241</v>
      </c>
      <c r="AB4" s="16" t="s">
        <v>242</v>
      </c>
      <c r="AC4" s="16" t="s">
        <v>243</v>
      </c>
      <c r="AD4" s="16" t="s">
        <v>33</v>
      </c>
      <c r="AE4" s="16" t="s">
        <v>244</v>
      </c>
      <c r="AF4" s="16" t="s">
        <v>245</v>
      </c>
      <c r="AG4" s="16" t="s">
        <v>246</v>
      </c>
      <c r="AH4" s="16" t="s">
        <v>247</v>
      </c>
      <c r="AI4" s="16" t="s">
        <v>248</v>
      </c>
      <c r="AJ4" s="16" t="s">
        <v>249</v>
      </c>
      <c r="AK4" s="16" t="s">
        <v>250</v>
      </c>
      <c r="AL4" s="16" t="s">
        <v>251</v>
      </c>
      <c r="AM4" s="16" t="s">
        <v>252</v>
      </c>
      <c r="AN4" s="16" t="s">
        <v>253</v>
      </c>
      <c r="AO4" s="16" t="s">
        <v>254</v>
      </c>
      <c r="AP4" s="16" t="s">
        <v>255</v>
      </c>
      <c r="AQ4" s="16" t="s">
        <v>256</v>
      </c>
      <c r="AR4" s="16" t="s">
        <v>257</v>
      </c>
      <c r="AS4" s="16" t="s">
        <v>258</v>
      </c>
      <c r="AT4" s="16" t="s">
        <v>259</v>
      </c>
      <c r="AU4" s="16" t="s">
        <v>260</v>
      </c>
      <c r="AV4" s="16" t="s">
        <v>261</v>
      </c>
      <c r="AW4" s="16" t="s">
        <v>262</v>
      </c>
      <c r="AX4" s="16" t="s">
        <v>263</v>
      </c>
      <c r="AY4" s="16" t="s">
        <v>264</v>
      </c>
      <c r="AZ4" s="16" t="s">
        <v>265</v>
      </c>
      <c r="BA4" s="16" t="s">
        <v>266</v>
      </c>
      <c r="BB4" s="16" t="s">
        <v>267</v>
      </c>
      <c r="BC4" s="16" t="s">
        <v>268</v>
      </c>
      <c r="BD4" s="16" t="s">
        <v>269</v>
      </c>
      <c r="BE4" s="16" t="s">
        <v>270</v>
      </c>
      <c r="BF4" s="16" t="s">
        <v>271</v>
      </c>
    </row>
    <row r="5" customFormat="false" ht="15" hidden="false" customHeight="false" outlineLevel="0" collapsed="false">
      <c r="A5" s="22" t="str">
        <f aca="false">'District Data'!A5</f>
        <v>Abbottabad</v>
      </c>
      <c r="B5" s="22" t="str">
        <f aca="false">'District Data'!C5</f>
        <v>Islamabad Region</v>
      </c>
      <c r="C5" s="22" t="str">
        <f aca="false">'District Data'!D5</f>
        <v>Stronghold</v>
      </c>
      <c r="D5" s="23" t="n">
        <f aca="false">ROUND('District Data'!E5*'District Data'!F5,0)</f>
        <v>377124</v>
      </c>
      <c r="E5" s="23" t="n">
        <f aca="false">'District Data'!I5</f>
        <v>92</v>
      </c>
      <c r="F5" s="23" t="n">
        <f aca="false">'District Data'!L5</f>
        <v>73950</v>
      </c>
      <c r="G5" s="24" t="n">
        <f aca="false">IFERROR(F5/(E5*Weeks),0)</f>
        <v>15.4577759197324</v>
      </c>
      <c r="H5" s="25" t="n">
        <f aca="false">IFERROR('District Data'!N5/('District Data'!M5*Weeks),0)</f>
        <v>6.99020979020979</v>
      </c>
      <c r="I5" s="24" t="n">
        <f aca="false">IFERROR(SUMIFS('District Data'!$N$5:$N$119,'District Data'!$C$5:$C$119,B5)/(SUMIFS('District Data'!$M$5:$M$119,'District Data'!$C$5:$C$119,B5)*Weeks),0)</f>
        <v>8.40311578665237</v>
      </c>
      <c r="J5" s="24" t="n">
        <f aca="false">IF(TPBasis="NI TP",IF(H5&gt;0,H5,I5),G5)</f>
        <v>6.99020979020979</v>
      </c>
      <c r="K5" s="26" t="n">
        <f aca="false">IFERROR(F5/D5,0)</f>
        <v>0.196089349922042</v>
      </c>
      <c r="L5" s="27" t="n">
        <f aca="false">IFERROR(D5/E5,0)</f>
        <v>4099.17391304348</v>
      </c>
      <c r="M5" s="28" t="n">
        <f aca="false">IFERROR('District Data'!L5/'District Data'!K5-1,0)</f>
        <v>0.0633754513414062</v>
      </c>
      <c r="N5" s="28" t="n">
        <f aca="false">IFERROR(('District Data'!L5/'District Data'!J5)^(1/2)-1,0)</f>
        <v>0.0424778387399798</v>
      </c>
      <c r="O5" s="28" t="n">
        <f aca="false">IFERROR('District Data'!I5/'District Data'!H5-1,0)</f>
        <v>0.108433734939759</v>
      </c>
      <c r="P5" s="7" t="str">
        <f aca="false">IF(K5&gt;=PCC_L1,"Layer 01",IF(K5&gt;=PCC_L2,"Layer 02",IF(K5&gt;=PCC_L3,"Layer 03",IF(K5&gt;=PCC_L4,"Layer 04","Layer 05"))))</f>
        <v>Layer 05</v>
      </c>
      <c r="Q5" s="7" t="str">
        <f aca="false">IF(L5&gt;=PPO_L1,"Layer 01",IF(L5&gt;=PPO_L2,"Layer 02",IF(L5&gt;=PPO_L3,"Layer 03",IF(L5&gt;=PPO_L4,"Layer 04","Layer 05"))))</f>
        <v>Layer 03</v>
      </c>
      <c r="R5" s="29" t="n">
        <f aca="false">D5/IdealPPO-E5</f>
        <v>410.832</v>
      </c>
      <c r="S5" s="29" t="n">
        <f aca="false">IdealTP*Weeks-(Weeks*J5+FirstFill)</f>
        <v>336.509090909091</v>
      </c>
      <c r="T5" s="29" t="n">
        <f aca="false">IF(S5&gt;0,(F5-IdealTP*Weeks*E5)/S5,1000000000000)</f>
        <v>6.50799654203588</v>
      </c>
      <c r="U5" s="27" t="n">
        <f aca="false">IF(E5&lt;=0,0,IF(G5&lt;=IdealTP,0,IF(L5&lt;=IdealPPO,0,INT(MIN(T5,R5)+0.000000001))))</f>
        <v>6</v>
      </c>
      <c r="V5" s="7" t="str">
        <f aca="false">IF(E5&lt;=0,"No current outlets",IF(G5&lt;=IdealTP,"TP already at or below ideal",IF(L5&lt;=IdealPPO,"PPO already at or below ideal",IF(T5&lt;=R5,"Stopped by TP reaching ideal","Stopped by PPO reaching ideal"))))</f>
        <v>Stopped by TP reaching ideal</v>
      </c>
      <c r="W5" s="30" t="n">
        <f aca="false">F5+U5*(Weeks*J5+FirstFill)</f>
        <v>76610.9454545455</v>
      </c>
      <c r="X5" s="30" t="n">
        <f aca="false">E5+U5</f>
        <v>98</v>
      </c>
      <c r="Y5" s="24" t="n">
        <f aca="false">IFERROR(W5/(X5*Weeks),0)</f>
        <v>15.0335450264022</v>
      </c>
      <c r="Z5" s="30" t="n">
        <f aca="false">IFERROR(D5/X5,0)</f>
        <v>3848.20408163265</v>
      </c>
      <c r="AA5" s="7" t="str">
        <f aca="false">IF(AND(K5&gt;=NationalPCC,L5&gt;IdealPPO),"Q1: High PCC, High PPO",IF(K5&gt;=NationalPCC,"Q2: High PCC, Low PPO",IF(L5&gt;IdealPPO,"Q3: Low PCC, High PPO","Q4: Low PCC, Low PPO")))</f>
        <v>Q3: Low PCC, High PPO</v>
      </c>
      <c r="AB5" s="7" t="str">
        <f aca="false">IF(K5&gt;=NationalPCC,IF(L5&gt;IdealPPO,"Phase 1","Phase 2"),"Phase 3")</f>
        <v>Phase 3</v>
      </c>
      <c r="AC5" s="7" t="str">
        <f aca="false">IF(AND(G5&gt;IdealTP,L5&gt;IdealPPO),"High TP, High PPO",IF(G5&gt;IdealTP,"High TP, Low PPO",IF(L5&gt;IdealPPO,"Low TP, High PPO","Low TP, Low PPO")))</f>
        <v>High TP, High PPO</v>
      </c>
      <c r="AD5" s="31" t="n">
        <f aca="false">INDEX(WaveNumbers,MATCH(C5,WaveNames,0))</f>
        <v>1</v>
      </c>
      <c r="AE5" s="32" t="n">
        <f aca="false">IF(U5&gt;0,AD5*10000000+VALUE(RIGHT(AB5,1))*1000000+(1000000-U5)+ROW()/1000000,"")</f>
        <v>13999994.000005</v>
      </c>
      <c r="AF5" s="31" t="n">
        <f aca="false">IF(U5&gt;0,COUNTIFS($AE$5:$AE$119,"&lt;"&amp;AE5)+1,"")</f>
        <v>20</v>
      </c>
      <c r="AG5" s="7" t="str">
        <f aca="false">IF(AF5="","No",IF(AF5&lt;=TopN,"Yes","No"))</f>
        <v>Yes</v>
      </c>
      <c r="AH5" s="30" t="n">
        <f aca="false">INT('District Data'!O5*ConvRate)</f>
        <v>24</v>
      </c>
      <c r="AI5" s="27" t="n">
        <f aca="false">MIN(U5,AH5)</f>
        <v>6</v>
      </c>
      <c r="AJ5" s="7" t="str">
        <f aca="false">IF(U5=0,"No expansion",IF(AH5&lt;U5,"Supply constrained (not enough shops)","Demand constrained (enough shops)"))</f>
        <v>Demand constrained (enough shops)</v>
      </c>
      <c r="AK5" s="30" t="n">
        <f aca="false">IF(AG5="Yes",AI5,0)</f>
        <v>6</v>
      </c>
      <c r="AL5" s="26" t="n">
        <f aca="false">IF(AG5="Yes",IF(Budget1&gt;=ShortlistFinal,AK5,AK5/ShortlistFinal*Budget1),0)</f>
        <v>3.54767184035477</v>
      </c>
      <c r="AM5" s="30" t="n">
        <f aca="false">INT(AL5)</f>
        <v>3</v>
      </c>
      <c r="AN5" s="26" t="n">
        <f aca="false">IF(AND(AG5="Yes",Budget1&lt;ShortlistFinal),AL5-AM5,-1)</f>
        <v>0.547671840354767</v>
      </c>
      <c r="AO5" s="27" t="n">
        <f aca="false">IF(AG5&lt;&gt;"Yes",0,IF(Budget1&gt;=ShortlistFinal,AK5,AM5+IF(COUNTIFS($AN$5:$AN$119,"&gt;"&amp;AN5)+COUNTIFS($AN$5:$AN$119,AN5,$AF$5:$AF$119,"&lt;"&amp;AF5)&lt;Budget1-SUM($AM$5:$AM$119),1,0)))</f>
        <v>4</v>
      </c>
      <c r="AP5" s="26" t="n">
        <f aca="false">IF(AG5="Yes",IF(Budget2&gt;=ShortlistFinal,AK5,AK5/ShortlistFinal*Budget2),0)</f>
        <v>5.32150776053215</v>
      </c>
      <c r="AQ5" s="30" t="n">
        <f aca="false">INT(AP5)</f>
        <v>5</v>
      </c>
      <c r="AR5" s="26" t="n">
        <f aca="false">IF(AND(AG5="Yes",Budget2&lt;ShortlistFinal),AP5-AQ5,-1)</f>
        <v>0.321507760532151</v>
      </c>
      <c r="AS5" s="27" t="n">
        <f aca="false">IF(AG5&lt;&gt;"Yes",0,IF(Budget2&gt;=ShortlistFinal,AK5,AQ5+IF(COUNTIFS($AR$5:$AR$119,"&gt;"&amp;AR5)+COUNTIFS($AR$5:$AR$119,AR5,$AF$5:$AF$119,"&lt;"&amp;AF5)&lt;Budget2-SUM($AQ$5:$AQ$119),1,0)))</f>
        <v>5</v>
      </c>
      <c r="AT5" s="26" t="n">
        <f aca="false">AK5*Share2025</f>
        <v>2.11764705882353</v>
      </c>
      <c r="AU5" s="26" t="n">
        <f aca="false">AK5*Share2026</f>
        <v>2.11764705882353</v>
      </c>
      <c r="AV5" s="26" t="n">
        <f aca="false">AK5*Share2027</f>
        <v>1.76470588235294</v>
      </c>
      <c r="AW5" s="31" t="n">
        <f aca="false">INT(AT5)</f>
        <v>2</v>
      </c>
      <c r="AX5" s="31" t="n">
        <f aca="false">INT(AU5)</f>
        <v>2</v>
      </c>
      <c r="AY5" s="31" t="n">
        <f aca="false">INT(AV5)</f>
        <v>1</v>
      </c>
      <c r="AZ5" s="26" t="n">
        <f aca="false">AT5-AW5</f>
        <v>0.11764705882353</v>
      </c>
      <c r="BA5" s="26" t="n">
        <f aca="false">AU5-AX5</f>
        <v>0.11764705882353</v>
      </c>
      <c r="BB5" s="26" t="n">
        <f aca="false">AV5-AY5</f>
        <v>0.764705882352941</v>
      </c>
      <c r="BC5" s="31" t="n">
        <f aca="false">AK5-AW5-AX5-AY5</f>
        <v>1</v>
      </c>
      <c r="BD5" s="27" t="n">
        <f aca="false">AW5+IF((BA5&gt;AZ5)+(BB5&gt;AZ5)&lt;BC5,1,0)</f>
        <v>2</v>
      </c>
      <c r="BE5" s="27" t="n">
        <f aca="false">AX5+IF((AZ5&gt;BA5)+(BB5&gt;BA5)+(AZ5=BA5)&lt;BC5,1,0)</f>
        <v>2</v>
      </c>
      <c r="BF5" s="27" t="n">
        <f aca="false">AY5+IF((AZ5&gt;BB5)+(BA5&gt;BB5)+(AZ5=BB5)+(BA5=BB5)&lt;BC5,1,0)</f>
        <v>2</v>
      </c>
    </row>
    <row r="6" customFormat="false" ht="15" hidden="false" customHeight="false" outlineLevel="0" collapsed="false">
      <c r="A6" s="22" t="str">
        <f aca="false">'District Data'!A6</f>
        <v>Attock</v>
      </c>
      <c r="B6" s="22" t="str">
        <f aca="false">'District Data'!C6</f>
        <v>Islamabad Region</v>
      </c>
      <c r="C6" s="22" t="str">
        <f aca="false">'District Data'!D6</f>
        <v>Stronghold</v>
      </c>
      <c r="D6" s="23" t="n">
        <f aca="false">ROUND('District Data'!E6*'District Data'!F6,0)</f>
        <v>577656</v>
      </c>
      <c r="E6" s="23" t="n">
        <f aca="false">'District Data'!I6</f>
        <v>111</v>
      </c>
      <c r="F6" s="23" t="n">
        <f aca="false">'District Data'!L6</f>
        <v>96099.2</v>
      </c>
      <c r="G6" s="24" t="n">
        <f aca="false">IFERROR(F6/(E6*Weeks),0)</f>
        <v>16.6492030492031</v>
      </c>
      <c r="H6" s="25" t="n">
        <f aca="false">IFERROR('District Data'!N6/('District Data'!M6*Weeks),0)</f>
        <v>9.56346153846154</v>
      </c>
      <c r="I6" s="24" t="n">
        <f aca="false">IFERROR(SUMIFS('District Data'!$N$5:$N$119,'District Data'!$C$5:$C$119,B6)/(SUMIFS('District Data'!$M$5:$M$119,'District Data'!$C$5:$C$119,B6)*Weeks),0)</f>
        <v>8.40311578665237</v>
      </c>
      <c r="J6" s="24" t="n">
        <f aca="false">IF(TPBasis="NI TP",IF(H6&gt;0,H6,I6),G6)</f>
        <v>9.56346153846154</v>
      </c>
      <c r="K6" s="26" t="n">
        <f aca="false">IFERROR(F6/D6,0)</f>
        <v>0.166360602157686</v>
      </c>
      <c r="L6" s="27" t="n">
        <f aca="false">IFERROR(D6/E6,0)</f>
        <v>5204.10810810811</v>
      </c>
      <c r="M6" s="28" t="n">
        <f aca="false">IFERROR('District Data'!L6/'District Data'!K6-1,0)</f>
        <v>0.032289112105812</v>
      </c>
      <c r="N6" s="28" t="n">
        <f aca="false">IFERROR(('District Data'!L6/'District Data'!J6)^(1/2)-1,0)</f>
        <v>0.0310774408295398</v>
      </c>
      <c r="O6" s="28" t="n">
        <f aca="false">IFERROR('District Data'!I6/'District Data'!H6-1,0)</f>
        <v>0.088235294117647</v>
      </c>
      <c r="P6" s="7" t="str">
        <f aca="false">IF(K6&gt;=PCC_L1,"Layer 01",IF(K6&gt;=PCC_L2,"Layer 02",IF(K6&gt;=PCC_L3,"Layer 03",IF(K6&gt;=PCC_L4,"Layer 04","Layer 05"))))</f>
        <v>Layer 05</v>
      </c>
      <c r="Q6" s="7" t="str">
        <f aca="false">IF(L6&gt;=PPO_L1,"Layer 01",IF(L6&gt;=PPO_L2,"Layer 02",IF(L6&gt;=PPO_L3,"Layer 03",IF(L6&gt;=PPO_L4,"Layer 04","Layer 05"))))</f>
        <v>Layer 03</v>
      </c>
      <c r="R6" s="29" t="n">
        <f aca="false">D6/IdealPPO-E6</f>
        <v>659.208</v>
      </c>
      <c r="S6" s="29" t="n">
        <f aca="false">IdealTP*Weeks-(Weeks*J6+FirstFill)</f>
        <v>202.7</v>
      </c>
      <c r="T6" s="29" t="n">
        <f aca="false">IF(S6&gt;0,(F6-IdealTP*Weeks*E6)/S6,1000000000000)</f>
        <v>46.9620128268377</v>
      </c>
      <c r="U6" s="27" t="n">
        <f aca="false">IF(E6&lt;=0,0,IF(G6&lt;=IdealTP,0,IF(L6&lt;=IdealPPO,0,INT(MIN(T6,R6)+0.000000001))))</f>
        <v>46</v>
      </c>
      <c r="V6" s="7" t="str">
        <f aca="false">IF(E6&lt;=0,"No current outlets",IF(G6&lt;=IdealTP,"TP already at or below ideal",IF(L6&lt;=IdealPPO,"PPO already at or below ideal",IF(T6&lt;=R6,"Stopped by TP reaching ideal","Stopped by PPO reaching ideal"))))</f>
        <v>Stopped by TP reaching ideal</v>
      </c>
      <c r="W6" s="30" t="n">
        <f aca="false">F6+U6*(Weeks*J6+FirstFill)</f>
        <v>122655</v>
      </c>
      <c r="X6" s="30" t="n">
        <f aca="false">E6+U6</f>
        <v>157</v>
      </c>
      <c r="Y6" s="24" t="n">
        <f aca="false">IFERROR(W6/(X6*Weeks),0)</f>
        <v>15.0238853503185</v>
      </c>
      <c r="Z6" s="30" t="n">
        <f aca="false">IFERROR(D6/X6,0)</f>
        <v>3679.33757961783</v>
      </c>
      <c r="AA6" s="7" t="str">
        <f aca="false">IF(AND(K6&gt;=NationalPCC,L6&gt;IdealPPO),"Q1: High PCC, High PPO",IF(K6&gt;=NationalPCC,"Q2: High PCC, Low PPO",IF(L6&gt;IdealPPO,"Q3: Low PCC, High PPO","Q4: Low PCC, Low PPO")))</f>
        <v>Q3: Low PCC, High PPO</v>
      </c>
      <c r="AB6" s="7" t="str">
        <f aca="false">IF(K6&gt;=NationalPCC,IF(L6&gt;IdealPPO,"Phase 1","Phase 2"),"Phase 3")</f>
        <v>Phase 3</v>
      </c>
      <c r="AC6" s="7" t="str">
        <f aca="false">IF(AND(G6&gt;IdealTP,L6&gt;IdealPPO),"High TP, High PPO",IF(G6&gt;IdealTP,"High TP, Low PPO",IF(L6&gt;IdealPPO,"Low TP, High PPO","Low TP, Low PPO")))</f>
        <v>High TP, High PPO</v>
      </c>
      <c r="AD6" s="31" t="n">
        <f aca="false">INDEX(WaveNumbers,MATCH(C6,WaveNames,0))</f>
        <v>1</v>
      </c>
      <c r="AE6" s="32" t="n">
        <f aca="false">IF(U6&gt;0,AD6*10000000+VALUE(RIGHT(AB6,1))*1000000+(1000000-U6)+ROW()/1000000,"")</f>
        <v>13999954.000006</v>
      </c>
      <c r="AF6" s="31" t="n">
        <f aca="false">IF(U6&gt;0,COUNTIFS($AE$5:$AE$119,"&lt;"&amp;AE6)+1,"")</f>
        <v>18</v>
      </c>
      <c r="AG6" s="7" t="str">
        <f aca="false">IF(AF6="","No",IF(AF6&lt;=TopN,"Yes","No"))</f>
        <v>Yes</v>
      </c>
      <c r="AH6" s="30" t="n">
        <f aca="false">INT('District Data'!O6*ConvRate)</f>
        <v>41</v>
      </c>
      <c r="AI6" s="27" t="n">
        <f aca="false">MIN(U6,AH6)</f>
        <v>41</v>
      </c>
      <c r="AJ6" s="7" t="str">
        <f aca="false">IF(U6=0,"No expansion",IF(AH6&lt;U6,"Supply constrained (not enough shops)","Demand constrained (enough shops)"))</f>
        <v>Supply constrained (not enough shops)</v>
      </c>
      <c r="AK6" s="30" t="n">
        <f aca="false">IF(AG6="Yes",AI6,0)</f>
        <v>41</v>
      </c>
      <c r="AL6" s="26" t="n">
        <f aca="false">IF(AG6="Yes",IF(Budget1&gt;=ShortlistFinal,AK6,AK6/ShortlistFinal*Budget1),0)</f>
        <v>24.2424242424242</v>
      </c>
      <c r="AM6" s="30" t="n">
        <f aca="false">INT(AL6)</f>
        <v>24</v>
      </c>
      <c r="AN6" s="26" t="n">
        <f aca="false">IF(AND(AG6="Yes",Budget1&lt;ShortlistFinal),AL6-AM6,-1)</f>
        <v>0.242424242424242</v>
      </c>
      <c r="AO6" s="27" t="n">
        <f aca="false">IF(AG6&lt;&gt;"Yes",0,IF(Budget1&gt;=ShortlistFinal,AK6,AM6+IF(COUNTIFS($AN$5:$AN$119,"&gt;"&amp;AN6)+COUNTIFS($AN$5:$AN$119,AN6,$AF$5:$AF$119,"&lt;"&amp;AF6)&lt;Budget1-SUM($AM$5:$AM$119),1,0)))</f>
        <v>24</v>
      </c>
      <c r="AP6" s="26" t="n">
        <f aca="false">IF(AG6="Yes",IF(Budget2&gt;=ShortlistFinal,AK6,AK6/ShortlistFinal*Budget2),0)</f>
        <v>36.3636363636364</v>
      </c>
      <c r="AQ6" s="30" t="n">
        <f aca="false">INT(AP6)</f>
        <v>36</v>
      </c>
      <c r="AR6" s="26" t="n">
        <f aca="false">IF(AND(AG6="Yes",Budget2&lt;ShortlistFinal),AP6-AQ6,-1)</f>
        <v>0.363636363636367</v>
      </c>
      <c r="AS6" s="27" t="n">
        <f aca="false">IF(AG6&lt;&gt;"Yes",0,IF(Budget2&gt;=ShortlistFinal,AK6,AQ6+IF(COUNTIFS($AR$5:$AR$119,"&gt;"&amp;AR6)+COUNTIFS($AR$5:$AR$119,AR6,$AF$5:$AF$119,"&lt;"&amp;AF6)&lt;Budget2-SUM($AQ$5:$AQ$119),1,0)))</f>
        <v>36</v>
      </c>
      <c r="AT6" s="26" t="n">
        <f aca="false">AK6*Share2025</f>
        <v>14.4705882352941</v>
      </c>
      <c r="AU6" s="26" t="n">
        <f aca="false">AK6*Share2026</f>
        <v>14.4705882352941</v>
      </c>
      <c r="AV6" s="26" t="n">
        <f aca="false">AK6*Share2027</f>
        <v>12.0588235294118</v>
      </c>
      <c r="AW6" s="31" t="n">
        <f aca="false">INT(AT6)</f>
        <v>14</v>
      </c>
      <c r="AX6" s="31" t="n">
        <f aca="false">INT(AU6)</f>
        <v>14</v>
      </c>
      <c r="AY6" s="31" t="n">
        <f aca="false">INT(AV6)</f>
        <v>12</v>
      </c>
      <c r="AZ6" s="26" t="n">
        <f aca="false">AT6-AW6</f>
        <v>0.470588235294121</v>
      </c>
      <c r="BA6" s="26" t="n">
        <f aca="false">AU6-AX6</f>
        <v>0.470588235294121</v>
      </c>
      <c r="BB6" s="26" t="n">
        <f aca="false">AV6-AY6</f>
        <v>0.0588235294117627</v>
      </c>
      <c r="BC6" s="31" t="n">
        <f aca="false">AK6-AW6-AX6-AY6</f>
        <v>1</v>
      </c>
      <c r="BD6" s="27" t="n">
        <f aca="false">AW6+IF((BA6&gt;AZ6)+(BB6&gt;AZ6)&lt;BC6,1,0)</f>
        <v>15</v>
      </c>
      <c r="BE6" s="27" t="n">
        <f aca="false">AX6+IF((AZ6&gt;BA6)+(BB6&gt;BA6)+(AZ6=BA6)&lt;BC6,1,0)</f>
        <v>14</v>
      </c>
      <c r="BF6" s="27" t="n">
        <f aca="false">AY6+IF((AZ6&gt;BB6)+(BA6&gt;BB6)+(AZ6=BB6)+(BA6=BB6)&lt;BC6,1,0)</f>
        <v>12</v>
      </c>
    </row>
    <row r="7" customFormat="false" ht="15" hidden="false" customHeight="false" outlineLevel="0" collapsed="false">
      <c r="A7" s="22" t="str">
        <f aca="false">'District Data'!A7</f>
        <v>Awaran</v>
      </c>
      <c r="B7" s="22" t="str">
        <f aca="false">'District Data'!C7</f>
        <v>Karachi Region</v>
      </c>
      <c r="C7" s="22" t="str">
        <f aca="false">'District Data'!D7</f>
        <v>Rest</v>
      </c>
      <c r="D7" s="23" t="n">
        <f aca="false">ROUND('District Data'!E7*'District Data'!F7,0)</f>
        <v>54952</v>
      </c>
      <c r="E7" s="23" t="n">
        <f aca="false">'District Data'!I7</f>
        <v>6</v>
      </c>
      <c r="F7" s="23" t="n">
        <f aca="false">'District Data'!L7</f>
        <v>3475.4</v>
      </c>
      <c r="G7" s="24" t="n">
        <f aca="false">IFERROR(F7/(E7*Weeks),0)</f>
        <v>11.1391025641026</v>
      </c>
      <c r="H7" s="25" t="n">
        <f aca="false">IFERROR('District Data'!N7/('District Data'!M7*Weeks),0)</f>
        <v>5.74134615384615</v>
      </c>
      <c r="I7" s="24" t="n">
        <f aca="false">IFERROR(SUMIFS('District Data'!$N$5:$N$119,'District Data'!$C$5:$C$119,B7)/(SUMIFS('District Data'!$M$5:$M$119,'District Data'!$C$5:$C$119,B7)*Weeks),0)</f>
        <v>12.952446872194</v>
      </c>
      <c r="J7" s="24" t="n">
        <f aca="false">IF(TPBasis="NI TP",IF(H7&gt;0,H7,I7),G7)</f>
        <v>5.74134615384615</v>
      </c>
      <c r="K7" s="26" t="n">
        <f aca="false">IFERROR(F7/D7,0)</f>
        <v>0.0632442859222594</v>
      </c>
      <c r="L7" s="27" t="n">
        <f aca="false">IFERROR(D7/E7,0)</f>
        <v>9158.66666666667</v>
      </c>
      <c r="M7" s="28" t="n">
        <f aca="false">IFERROR('District Data'!L7/'District Data'!K7-1,0)</f>
        <v>0.0625859907665027</v>
      </c>
      <c r="N7" s="28" t="n">
        <f aca="false">IFERROR(('District Data'!L7/'District Data'!J7)^(1/2)-1,0)</f>
        <v>0.0898648822525574</v>
      </c>
      <c r="O7" s="28" t="n">
        <f aca="false">IFERROR('District Data'!I7/'District Data'!H7-1,0)</f>
        <v>0.2</v>
      </c>
      <c r="P7" s="7" t="str">
        <f aca="false">IF(K7&gt;=PCC_L1,"Layer 01",IF(K7&gt;=PCC_L2,"Layer 02",IF(K7&gt;=PCC_L3,"Layer 03",IF(K7&gt;=PCC_L4,"Layer 04","Layer 05"))))</f>
        <v>Layer 05</v>
      </c>
      <c r="Q7" s="7" t="str">
        <f aca="false">IF(L7&gt;=PPO_L1,"Layer 01",IF(L7&gt;=PPO_L2,"Layer 02",IF(L7&gt;=PPO_L3,"Layer 03",IF(L7&gt;=PPO_L4,"Layer 04","Layer 05"))))</f>
        <v>Layer 03</v>
      </c>
      <c r="R7" s="29" t="n">
        <f aca="false">D7/IdealPPO-E7</f>
        <v>67.2693333333333</v>
      </c>
      <c r="S7" s="29" t="n">
        <f aca="false">IdealTP*Weeks-(Weeks*J7+FirstFill)</f>
        <v>401.45</v>
      </c>
      <c r="T7" s="29" t="n">
        <f aca="false">IF(S7&gt;0,(F7-IdealTP*Weeks*E7)/S7,1000000000000)</f>
        <v>-3.00062274255823</v>
      </c>
      <c r="U7" s="27" t="n">
        <f aca="false">IF(E7&lt;=0,0,IF(G7&lt;=IdealTP,0,IF(L7&lt;=IdealPPO,0,INT(MIN(T7,R7)+0.000000001))))</f>
        <v>0</v>
      </c>
      <c r="V7" s="7" t="str">
        <f aca="false">IF(E7&lt;=0,"No current outlets",IF(G7&lt;=IdealTP,"TP already at or below ideal",IF(L7&lt;=IdealPPO,"PPO already at or below ideal",IF(T7&lt;=R7,"Stopped by TP reaching ideal","Stopped by PPO reaching ideal"))))</f>
        <v>TP already at or below ideal</v>
      </c>
      <c r="W7" s="30" t="n">
        <f aca="false">F7+U7*(Weeks*J7+FirstFill)</f>
        <v>3475.4</v>
      </c>
      <c r="X7" s="30" t="n">
        <f aca="false">E7+U7</f>
        <v>6</v>
      </c>
      <c r="Y7" s="24" t="n">
        <f aca="false">IFERROR(W7/(X7*Weeks),0)</f>
        <v>11.1391025641026</v>
      </c>
      <c r="Z7" s="30" t="n">
        <f aca="false">IFERROR(D7/X7,0)</f>
        <v>9158.66666666667</v>
      </c>
      <c r="AA7" s="7" t="str">
        <f aca="false">IF(AND(K7&gt;=NationalPCC,L7&gt;IdealPPO),"Q1: High PCC, High PPO",IF(K7&gt;=NationalPCC,"Q2: High PCC, Low PPO",IF(L7&gt;IdealPPO,"Q3: Low PCC, High PPO","Q4: Low PCC, Low PPO")))</f>
        <v>Q3: Low PCC, High PPO</v>
      </c>
      <c r="AB7" s="7" t="str">
        <f aca="false">IF(K7&gt;=NationalPCC,IF(L7&gt;IdealPPO,"Phase 1","Phase 2"),"Phase 3")</f>
        <v>Phase 3</v>
      </c>
      <c r="AC7" s="7" t="str">
        <f aca="false">IF(AND(G7&gt;IdealTP,L7&gt;IdealPPO),"High TP, High PPO",IF(G7&gt;IdealTP,"High TP, Low PPO",IF(L7&gt;IdealPPO,"Low TP, High PPO","Low TP, Low PPO")))</f>
        <v>Low TP, High PPO</v>
      </c>
      <c r="AD7" s="31" t="n">
        <f aca="false">INDEX(WaveNumbers,MATCH(C7,WaveNames,0))</f>
        <v>4</v>
      </c>
      <c r="AE7" s="32" t="str">
        <f aca="false">IF(U7&gt;0,AD7*10000000+VALUE(RIGHT(AB7,1))*1000000+(1000000-U7)+ROW()/1000000,"")</f>
        <v/>
      </c>
      <c r="AF7" s="31" t="str">
        <f aca="false">IF(U7&gt;0,COUNTIFS($AE$5:$AE$119,"&lt;"&amp;AE7)+1,"")</f>
        <v/>
      </c>
      <c r="AG7" s="7" t="str">
        <f aca="false">IF(AF7="","No",IF(AF7&lt;=TopN,"Yes","No"))</f>
        <v>No</v>
      </c>
      <c r="AH7" s="30" t="n">
        <f aca="false">INT('District Data'!O7*ConvRate)</f>
        <v>4</v>
      </c>
      <c r="AI7" s="27" t="n">
        <f aca="false">MIN(U7,AH7)</f>
        <v>0</v>
      </c>
      <c r="AJ7" s="7" t="str">
        <f aca="false">IF(U7=0,"No expansion",IF(AH7&lt;U7,"Supply constrained (not enough shops)","Demand constrained (enough shops)"))</f>
        <v>No expansion</v>
      </c>
      <c r="AK7" s="30" t="n">
        <f aca="false">IF(AG7="Yes",AI7,0)</f>
        <v>0</v>
      </c>
      <c r="AL7" s="26" t="n">
        <f aca="false">IF(AG7="Yes",IF(Budget1&gt;=ShortlistFinal,AK7,AK7/ShortlistFinal*Budget1),0)</f>
        <v>0</v>
      </c>
      <c r="AM7" s="30" t="n">
        <f aca="false">INT(AL7)</f>
        <v>0</v>
      </c>
      <c r="AN7" s="26" t="n">
        <f aca="false">IF(AND(AG7="Yes",Budget1&lt;ShortlistFinal),AL7-AM7,-1)</f>
        <v>-1</v>
      </c>
      <c r="AO7" s="27" t="n">
        <f aca="false">IF(AG7&lt;&gt;"Yes",0,IF(Budget1&gt;=ShortlistFinal,AK7,AM7+IF(COUNTIFS($AN$5:$AN$119,"&gt;"&amp;AN7)+COUNTIFS($AN$5:$AN$119,AN7,$AF$5:$AF$119,"&lt;"&amp;AF7)&lt;Budget1-SUM($AM$5:$AM$119),1,0)))</f>
        <v>0</v>
      </c>
      <c r="AP7" s="26" t="n">
        <f aca="false">IF(AG7="Yes",IF(Budget2&gt;=ShortlistFinal,AK7,AK7/ShortlistFinal*Budget2),0)</f>
        <v>0</v>
      </c>
      <c r="AQ7" s="30" t="n">
        <f aca="false">INT(AP7)</f>
        <v>0</v>
      </c>
      <c r="AR7" s="26" t="n">
        <f aca="false">IF(AND(AG7="Yes",Budget2&lt;ShortlistFinal),AP7-AQ7,-1)</f>
        <v>-1</v>
      </c>
      <c r="AS7" s="27" t="n">
        <f aca="false">IF(AG7&lt;&gt;"Yes",0,IF(Budget2&gt;=ShortlistFinal,AK7,AQ7+IF(COUNTIFS($AR$5:$AR$119,"&gt;"&amp;AR7)+COUNTIFS($AR$5:$AR$119,AR7,$AF$5:$AF$119,"&lt;"&amp;AF7)&lt;Budget2-SUM($AQ$5:$AQ$119),1,0)))</f>
        <v>0</v>
      </c>
      <c r="AT7" s="26" t="n">
        <f aca="false">AK7*Share2025</f>
        <v>0</v>
      </c>
      <c r="AU7" s="26" t="n">
        <f aca="false">AK7*Share2026</f>
        <v>0</v>
      </c>
      <c r="AV7" s="26" t="n">
        <f aca="false">AK7*Share2027</f>
        <v>0</v>
      </c>
      <c r="AW7" s="31" t="n">
        <f aca="false">INT(AT7)</f>
        <v>0</v>
      </c>
      <c r="AX7" s="31" t="n">
        <f aca="false">INT(AU7)</f>
        <v>0</v>
      </c>
      <c r="AY7" s="31" t="n">
        <f aca="false">INT(AV7)</f>
        <v>0</v>
      </c>
      <c r="AZ7" s="26" t="n">
        <f aca="false">AT7-AW7</f>
        <v>0</v>
      </c>
      <c r="BA7" s="26" t="n">
        <f aca="false">AU7-AX7</f>
        <v>0</v>
      </c>
      <c r="BB7" s="26" t="n">
        <f aca="false">AV7-AY7</f>
        <v>0</v>
      </c>
      <c r="BC7" s="31" t="n">
        <f aca="false">AK7-AW7-AX7-AY7</f>
        <v>0</v>
      </c>
      <c r="BD7" s="27" t="n">
        <f aca="false">AW7+IF((BA7&gt;AZ7)+(BB7&gt;AZ7)&lt;BC7,1,0)</f>
        <v>0</v>
      </c>
      <c r="BE7" s="27" t="n">
        <f aca="false">AX7+IF((AZ7&gt;BA7)+(BB7&gt;BA7)+(AZ7=BA7)&lt;BC7,1,0)</f>
        <v>0</v>
      </c>
      <c r="BF7" s="27" t="n">
        <f aca="false">AY7+IF((AZ7&gt;BB7)+(BA7&gt;BB7)+(AZ7=BB7)+(BA7=BB7)&lt;BC7,1,0)</f>
        <v>0</v>
      </c>
    </row>
    <row r="8" customFormat="false" ht="15" hidden="false" customHeight="false" outlineLevel="0" collapsed="false">
      <c r="A8" s="22" t="str">
        <f aca="false">'District Data'!A8</f>
        <v>Badin</v>
      </c>
      <c r="B8" s="22" t="str">
        <f aca="false">'District Data'!C8</f>
        <v>Karachi Region</v>
      </c>
      <c r="C8" s="22" t="str">
        <f aca="false">'District Data'!D8</f>
        <v>Neighbouring</v>
      </c>
      <c r="D8" s="23" t="n">
        <f aca="false">ROUND('District Data'!E8*'District Data'!F8,0)</f>
        <v>467323</v>
      </c>
      <c r="E8" s="23" t="n">
        <f aca="false">'District Data'!I8</f>
        <v>110</v>
      </c>
      <c r="F8" s="23" t="n">
        <f aca="false">'District Data'!L8</f>
        <v>88179.1</v>
      </c>
      <c r="G8" s="24" t="n">
        <f aca="false">IFERROR(F8/(E8*Weeks),0)</f>
        <v>15.4159265734266</v>
      </c>
      <c r="H8" s="25" t="n">
        <f aca="false">IFERROR('District Data'!N8/('District Data'!M8*Weeks),0)</f>
        <v>6.43828671328671</v>
      </c>
      <c r="I8" s="24" t="n">
        <f aca="false">IFERROR(SUMIFS('District Data'!$N$5:$N$119,'District Data'!$C$5:$C$119,B8)/(SUMIFS('District Data'!$M$5:$M$119,'District Data'!$C$5:$C$119,B8)*Weeks),0)</f>
        <v>12.952446872194</v>
      </c>
      <c r="J8" s="24" t="n">
        <f aca="false">IF(TPBasis="NI TP",IF(H8&gt;0,H8,I8),G8)</f>
        <v>6.43828671328671</v>
      </c>
      <c r="K8" s="26" t="n">
        <f aca="false">IFERROR(F8/D8,0)</f>
        <v>0.188689835509915</v>
      </c>
      <c r="L8" s="27" t="n">
        <f aca="false">IFERROR(D8/E8,0)</f>
        <v>4248.39090909091</v>
      </c>
      <c r="M8" s="28" t="n">
        <f aca="false">IFERROR('District Data'!L8/'District Data'!K8-1,0)</f>
        <v>0.11090379963717</v>
      </c>
      <c r="N8" s="28" t="n">
        <f aca="false">IFERROR(('District Data'!L8/'District Data'!J8)^(1/2)-1,0)</f>
        <v>0.0791920833236928</v>
      </c>
      <c r="O8" s="28" t="n">
        <f aca="false">IFERROR('District Data'!I8/'District Data'!H8-1,0)</f>
        <v>0.0784313725490196</v>
      </c>
      <c r="P8" s="7" t="str">
        <f aca="false">IF(K8&gt;=PCC_L1,"Layer 01",IF(K8&gt;=PCC_L2,"Layer 02",IF(K8&gt;=PCC_L3,"Layer 03",IF(K8&gt;=PCC_L4,"Layer 04","Layer 05"))))</f>
        <v>Layer 05</v>
      </c>
      <c r="Q8" s="7" t="str">
        <f aca="false">IF(L8&gt;=PPO_L1,"Layer 01",IF(L8&gt;=PPO_L2,"Layer 02",IF(L8&gt;=PPO_L3,"Layer 03",IF(L8&gt;=PPO_L4,"Layer 04","Layer 05"))))</f>
        <v>Layer 03</v>
      </c>
      <c r="R8" s="29" t="n">
        <f aca="false">D8/IdealPPO-E8</f>
        <v>513.097333333333</v>
      </c>
      <c r="S8" s="29" t="n">
        <f aca="false">IdealTP*Weeks-(Weeks*J8+FirstFill)</f>
        <v>365.209090909091</v>
      </c>
      <c r="T8" s="29" t="n">
        <f aca="false">IF(S8&gt;0,(F8-IdealTP*Weeks*E8)/S8,1000000000000)</f>
        <v>6.51435043437136</v>
      </c>
      <c r="U8" s="27" t="n">
        <f aca="false">IF(E8&lt;=0,0,IF(G8&lt;=IdealTP,0,IF(L8&lt;=IdealPPO,0,INT(MIN(T8,R8)+0.000000001))))</f>
        <v>6</v>
      </c>
      <c r="V8" s="7" t="str">
        <f aca="false">IF(E8&lt;=0,"No current outlets",IF(G8&lt;=IdealTP,"TP already at or below ideal",IF(L8&lt;=IdealPPO,"PPO already at or below ideal",IF(T8&lt;=R8,"Stopped by TP reaching ideal","Stopped by PPO reaching ideal"))))</f>
        <v>Stopped by TP reaching ideal</v>
      </c>
      <c r="W8" s="30" t="n">
        <f aca="false">F8+U8*(Weeks*J8+FirstFill)</f>
        <v>90667.8454545455</v>
      </c>
      <c r="X8" s="30" t="n">
        <f aca="false">E8+U8</f>
        <v>116</v>
      </c>
      <c r="Y8" s="24" t="n">
        <f aca="false">IFERROR(W8/(X8*Weeks),0)</f>
        <v>15.0311414878225</v>
      </c>
      <c r="Z8" s="30" t="n">
        <f aca="false">IFERROR(D8/X8,0)</f>
        <v>4028.64655172414</v>
      </c>
      <c r="AA8" s="7" t="str">
        <f aca="false">IF(AND(K8&gt;=NationalPCC,L8&gt;IdealPPO),"Q1: High PCC, High PPO",IF(K8&gt;=NationalPCC,"Q2: High PCC, Low PPO",IF(L8&gt;IdealPPO,"Q3: Low PCC, High PPO","Q4: Low PCC, Low PPO")))</f>
        <v>Q3: Low PCC, High PPO</v>
      </c>
      <c r="AB8" s="7" t="str">
        <f aca="false">IF(K8&gt;=NationalPCC,IF(L8&gt;IdealPPO,"Phase 1","Phase 2"),"Phase 3")</f>
        <v>Phase 3</v>
      </c>
      <c r="AC8" s="7" t="str">
        <f aca="false">IF(AND(G8&gt;IdealTP,L8&gt;IdealPPO),"High TP, High PPO",IF(G8&gt;IdealTP,"High TP, Low PPO",IF(L8&gt;IdealPPO,"Low TP, High PPO","Low TP, Low PPO")))</f>
        <v>High TP, High PPO</v>
      </c>
      <c r="AD8" s="31" t="n">
        <f aca="false">INDEX(WaveNumbers,MATCH(C8,WaveNames,0))</f>
        <v>2</v>
      </c>
      <c r="AE8" s="32" t="n">
        <f aca="false">IF(U8&gt;0,AD8*10000000+VALUE(RIGHT(AB8,1))*1000000+(1000000-U8)+ROW()/1000000,"")</f>
        <v>23999994.000008</v>
      </c>
      <c r="AF8" s="31" t="n">
        <f aca="false">IF(U8&gt;0,COUNTIFS($AE$5:$AE$119,"&lt;"&amp;AE8)+1,"")</f>
        <v>34</v>
      </c>
      <c r="AG8" s="7" t="str">
        <f aca="false">IF(AF8="","No",IF(AF8&lt;=TopN,"Yes","No"))</f>
        <v>Yes</v>
      </c>
      <c r="AH8" s="30" t="n">
        <f aca="false">INT('District Data'!O8*ConvRate)</f>
        <v>49</v>
      </c>
      <c r="AI8" s="27" t="n">
        <f aca="false">MIN(U8,AH8)</f>
        <v>6</v>
      </c>
      <c r="AJ8" s="7" t="str">
        <f aca="false">IF(U8=0,"No expansion",IF(AH8&lt;U8,"Supply constrained (not enough shops)","Demand constrained (enough shops)"))</f>
        <v>Demand constrained (enough shops)</v>
      </c>
      <c r="AK8" s="30" t="n">
        <f aca="false">IF(AG8="Yes",AI8,0)</f>
        <v>6</v>
      </c>
      <c r="AL8" s="26" t="n">
        <f aca="false">IF(AG8="Yes",IF(Budget1&gt;=ShortlistFinal,AK8,AK8/ShortlistFinal*Budget1),0)</f>
        <v>3.54767184035477</v>
      </c>
      <c r="AM8" s="30" t="n">
        <f aca="false">INT(AL8)</f>
        <v>3</v>
      </c>
      <c r="AN8" s="26" t="n">
        <f aca="false">IF(AND(AG8="Yes",Budget1&lt;ShortlistFinal),AL8-AM8,-1)</f>
        <v>0.547671840354767</v>
      </c>
      <c r="AO8" s="27" t="n">
        <f aca="false">IF(AG8&lt;&gt;"Yes",0,IF(Budget1&gt;=ShortlistFinal,AK8,AM8+IF(COUNTIFS($AN$5:$AN$119,"&gt;"&amp;AN8)+COUNTIFS($AN$5:$AN$119,AN8,$AF$5:$AF$119,"&lt;"&amp;AF8)&lt;Budget1-SUM($AM$5:$AM$119),1,0)))</f>
        <v>4</v>
      </c>
      <c r="AP8" s="26" t="n">
        <f aca="false">IF(AG8="Yes",IF(Budget2&gt;=ShortlistFinal,AK8,AK8/ShortlistFinal*Budget2),0)</f>
        <v>5.32150776053215</v>
      </c>
      <c r="AQ8" s="30" t="n">
        <f aca="false">INT(AP8)</f>
        <v>5</v>
      </c>
      <c r="AR8" s="26" t="n">
        <f aca="false">IF(AND(AG8="Yes",Budget2&lt;ShortlistFinal),AP8-AQ8,-1)</f>
        <v>0.321507760532151</v>
      </c>
      <c r="AS8" s="27" t="n">
        <f aca="false">IF(AG8&lt;&gt;"Yes",0,IF(Budget2&gt;=ShortlistFinal,AK8,AQ8+IF(COUNTIFS($AR$5:$AR$119,"&gt;"&amp;AR8)+COUNTIFS($AR$5:$AR$119,AR8,$AF$5:$AF$119,"&lt;"&amp;AF8)&lt;Budget2-SUM($AQ$5:$AQ$119),1,0)))</f>
        <v>5</v>
      </c>
      <c r="AT8" s="26" t="n">
        <f aca="false">AK8*Share2025</f>
        <v>2.11764705882353</v>
      </c>
      <c r="AU8" s="26" t="n">
        <f aca="false">AK8*Share2026</f>
        <v>2.11764705882353</v>
      </c>
      <c r="AV8" s="26" t="n">
        <f aca="false">AK8*Share2027</f>
        <v>1.76470588235294</v>
      </c>
      <c r="AW8" s="31" t="n">
        <f aca="false">INT(AT8)</f>
        <v>2</v>
      </c>
      <c r="AX8" s="31" t="n">
        <f aca="false">INT(AU8)</f>
        <v>2</v>
      </c>
      <c r="AY8" s="31" t="n">
        <f aca="false">INT(AV8)</f>
        <v>1</v>
      </c>
      <c r="AZ8" s="26" t="n">
        <f aca="false">AT8-AW8</f>
        <v>0.11764705882353</v>
      </c>
      <c r="BA8" s="26" t="n">
        <f aca="false">AU8-AX8</f>
        <v>0.11764705882353</v>
      </c>
      <c r="BB8" s="26" t="n">
        <f aca="false">AV8-AY8</f>
        <v>0.764705882352941</v>
      </c>
      <c r="BC8" s="31" t="n">
        <f aca="false">AK8-AW8-AX8-AY8</f>
        <v>1</v>
      </c>
      <c r="BD8" s="27" t="n">
        <f aca="false">AW8+IF((BA8&gt;AZ8)+(BB8&gt;AZ8)&lt;BC8,1,0)</f>
        <v>2</v>
      </c>
      <c r="BE8" s="27" t="n">
        <f aca="false">AX8+IF((AZ8&gt;BA8)+(BB8&gt;BA8)+(AZ8=BA8)&lt;BC8,1,0)</f>
        <v>2</v>
      </c>
      <c r="BF8" s="27" t="n">
        <f aca="false">AY8+IF((AZ8&gt;BB8)+(BA8&gt;BB8)+(AZ8=BB8)+(BA8=BB8)&lt;BC8,1,0)</f>
        <v>2</v>
      </c>
    </row>
    <row r="9" customFormat="false" ht="15" hidden="false" customHeight="false" outlineLevel="0" collapsed="false">
      <c r="A9" s="22" t="str">
        <f aca="false">'District Data'!A9</f>
        <v>Bahawalnagar</v>
      </c>
      <c r="B9" s="22" t="str">
        <f aca="false">'District Data'!C9</f>
        <v>Multan Region</v>
      </c>
      <c r="C9" s="22" t="str">
        <f aca="false">'District Data'!D9</f>
        <v>Population High</v>
      </c>
      <c r="D9" s="23" t="n">
        <f aca="false">ROUND('District Data'!E9*'District Data'!F9,0)</f>
        <v>914098</v>
      </c>
      <c r="E9" s="23" t="n">
        <f aca="false">'District Data'!I9</f>
        <v>146</v>
      </c>
      <c r="F9" s="23" t="n">
        <f aca="false">'District Data'!L9</f>
        <v>107197.5</v>
      </c>
      <c r="G9" s="24" t="n">
        <f aca="false">IFERROR(F9/(E9*Weeks),0)</f>
        <v>14.1197971548999</v>
      </c>
      <c r="H9" s="25" t="n">
        <f aca="false">IFERROR('District Data'!N9/('District Data'!M9*Weeks),0)</f>
        <v>8.01258741258741</v>
      </c>
      <c r="I9" s="24" t="n">
        <f aca="false">IFERROR(SUMIFS('District Data'!$N$5:$N$119,'District Data'!$C$5:$C$119,B9)/(SUMIFS('District Data'!$M$5:$M$119,'District Data'!$C$5:$C$119,B9)*Weeks),0)</f>
        <v>8.16663285109386</v>
      </c>
      <c r="J9" s="24" t="n">
        <f aca="false">IF(TPBasis="NI TP",IF(H9&gt;0,H9,I9),G9)</f>
        <v>8.01258741258741</v>
      </c>
      <c r="K9" s="26" t="n">
        <f aca="false">IFERROR(F9/D9,0)</f>
        <v>0.117271342897589</v>
      </c>
      <c r="L9" s="27" t="n">
        <f aca="false">IFERROR(D9/E9,0)</f>
        <v>6260.94520547945</v>
      </c>
      <c r="M9" s="28" t="n">
        <f aca="false">IFERROR('District Data'!L9/'District Data'!K9-1,0)</f>
        <v>-0.0132687156545992</v>
      </c>
      <c r="N9" s="28" t="n">
        <f aca="false">IFERROR(('District Data'!L9/'District Data'!J9)^(1/2)-1,0)</f>
        <v>0.0190568444298158</v>
      </c>
      <c r="O9" s="28" t="n">
        <f aca="false">IFERROR('District Data'!I9/'District Data'!H9-1,0)</f>
        <v>0.0428571428571429</v>
      </c>
      <c r="P9" s="7" t="str">
        <f aca="false">IF(K9&gt;=PCC_L1,"Layer 01",IF(K9&gt;=PCC_L2,"Layer 02",IF(K9&gt;=PCC_L3,"Layer 03",IF(K9&gt;=PCC_L4,"Layer 04","Layer 05"))))</f>
        <v>Layer 05</v>
      </c>
      <c r="Q9" s="7" t="str">
        <f aca="false">IF(L9&gt;=PPO_L1,"Layer 01",IF(L9&gt;=PPO_L2,"Layer 02",IF(L9&gt;=PPO_L3,"Layer 03",IF(L9&gt;=PPO_L4,"Layer 04","Layer 05"))))</f>
        <v>Layer 03</v>
      </c>
      <c r="R9" s="29" t="n">
        <f aca="false">D9/IdealPPO-E9</f>
        <v>1072.79733333333</v>
      </c>
      <c r="S9" s="29" t="n">
        <f aca="false">IdealTP*Weeks-(Weeks*J9+FirstFill)</f>
        <v>283.345454545455</v>
      </c>
      <c r="T9" s="29" t="n">
        <f aca="false">IF(S9&gt;0,(F9-IdealTP*Weeks*E9)/S9,1000000000000)</f>
        <v>-23.5842851642711</v>
      </c>
      <c r="U9" s="27" t="n">
        <f aca="false">IF(E9&lt;=0,0,IF(G9&lt;=IdealTP,0,IF(L9&lt;=IdealPPO,0,INT(MIN(T9,R9)+0.000000001))))</f>
        <v>0</v>
      </c>
      <c r="V9" s="7" t="str">
        <f aca="false">IF(E9&lt;=0,"No current outlets",IF(G9&lt;=IdealTP,"TP already at or below ideal",IF(L9&lt;=IdealPPO,"PPO already at or below ideal",IF(T9&lt;=R9,"Stopped by TP reaching ideal","Stopped by PPO reaching ideal"))))</f>
        <v>TP already at or below ideal</v>
      </c>
      <c r="W9" s="30" t="n">
        <f aca="false">F9+U9*(Weeks*J9+FirstFill)</f>
        <v>107197.5</v>
      </c>
      <c r="X9" s="30" t="n">
        <f aca="false">E9+U9</f>
        <v>146</v>
      </c>
      <c r="Y9" s="24" t="n">
        <f aca="false">IFERROR(W9/(X9*Weeks),0)</f>
        <v>14.1197971548999</v>
      </c>
      <c r="Z9" s="30" t="n">
        <f aca="false">IFERROR(D9/X9,0)</f>
        <v>6260.94520547945</v>
      </c>
      <c r="AA9" s="7" t="str">
        <f aca="false">IF(AND(K9&gt;=NationalPCC,L9&gt;IdealPPO),"Q1: High PCC, High PPO",IF(K9&gt;=NationalPCC,"Q2: High PCC, Low PPO",IF(L9&gt;IdealPPO,"Q3: Low PCC, High PPO","Q4: Low PCC, Low PPO")))</f>
        <v>Q3: Low PCC, High PPO</v>
      </c>
      <c r="AB9" s="7" t="str">
        <f aca="false">IF(K9&gt;=NationalPCC,IF(L9&gt;IdealPPO,"Phase 1","Phase 2"),"Phase 3")</f>
        <v>Phase 3</v>
      </c>
      <c r="AC9" s="7" t="str">
        <f aca="false">IF(AND(G9&gt;IdealTP,L9&gt;IdealPPO),"High TP, High PPO",IF(G9&gt;IdealTP,"High TP, Low PPO",IF(L9&gt;IdealPPO,"Low TP, High PPO","Low TP, Low PPO")))</f>
        <v>Low TP, High PPO</v>
      </c>
      <c r="AD9" s="31" t="n">
        <f aca="false">INDEX(WaveNumbers,MATCH(C9,WaveNames,0))</f>
        <v>3</v>
      </c>
      <c r="AE9" s="32" t="str">
        <f aca="false">IF(U9&gt;0,AD9*10000000+VALUE(RIGHT(AB9,1))*1000000+(1000000-U9)+ROW()/1000000,"")</f>
        <v/>
      </c>
      <c r="AF9" s="31" t="str">
        <f aca="false">IF(U9&gt;0,COUNTIFS($AE$5:$AE$119,"&lt;"&amp;AE9)+1,"")</f>
        <v/>
      </c>
      <c r="AG9" s="7" t="str">
        <f aca="false">IF(AF9="","No",IF(AF9&lt;=TopN,"Yes","No"))</f>
        <v>No</v>
      </c>
      <c r="AH9" s="30" t="n">
        <f aca="false">INT('District Data'!O9*ConvRate)</f>
        <v>47</v>
      </c>
      <c r="AI9" s="27" t="n">
        <f aca="false">MIN(U9,AH9)</f>
        <v>0</v>
      </c>
      <c r="AJ9" s="7" t="str">
        <f aca="false">IF(U9=0,"No expansion",IF(AH9&lt;U9,"Supply constrained (not enough shops)","Demand constrained (enough shops)"))</f>
        <v>No expansion</v>
      </c>
      <c r="AK9" s="30" t="n">
        <f aca="false">IF(AG9="Yes",AI9,0)</f>
        <v>0</v>
      </c>
      <c r="AL9" s="26" t="n">
        <f aca="false">IF(AG9="Yes",IF(Budget1&gt;=ShortlistFinal,AK9,AK9/ShortlistFinal*Budget1),0)</f>
        <v>0</v>
      </c>
      <c r="AM9" s="30" t="n">
        <f aca="false">INT(AL9)</f>
        <v>0</v>
      </c>
      <c r="AN9" s="26" t="n">
        <f aca="false">IF(AND(AG9="Yes",Budget1&lt;ShortlistFinal),AL9-AM9,-1)</f>
        <v>-1</v>
      </c>
      <c r="AO9" s="27" t="n">
        <f aca="false">IF(AG9&lt;&gt;"Yes",0,IF(Budget1&gt;=ShortlistFinal,AK9,AM9+IF(COUNTIFS($AN$5:$AN$119,"&gt;"&amp;AN9)+COUNTIFS($AN$5:$AN$119,AN9,$AF$5:$AF$119,"&lt;"&amp;AF9)&lt;Budget1-SUM($AM$5:$AM$119),1,0)))</f>
        <v>0</v>
      </c>
      <c r="AP9" s="26" t="n">
        <f aca="false">IF(AG9="Yes",IF(Budget2&gt;=ShortlistFinal,AK9,AK9/ShortlistFinal*Budget2),0)</f>
        <v>0</v>
      </c>
      <c r="AQ9" s="30" t="n">
        <f aca="false">INT(AP9)</f>
        <v>0</v>
      </c>
      <c r="AR9" s="26" t="n">
        <f aca="false">IF(AND(AG9="Yes",Budget2&lt;ShortlistFinal),AP9-AQ9,-1)</f>
        <v>-1</v>
      </c>
      <c r="AS9" s="27" t="n">
        <f aca="false">IF(AG9&lt;&gt;"Yes",0,IF(Budget2&gt;=ShortlistFinal,AK9,AQ9+IF(COUNTIFS($AR$5:$AR$119,"&gt;"&amp;AR9)+COUNTIFS($AR$5:$AR$119,AR9,$AF$5:$AF$119,"&lt;"&amp;AF9)&lt;Budget2-SUM($AQ$5:$AQ$119),1,0)))</f>
        <v>0</v>
      </c>
      <c r="AT9" s="26" t="n">
        <f aca="false">AK9*Share2025</f>
        <v>0</v>
      </c>
      <c r="AU9" s="26" t="n">
        <f aca="false">AK9*Share2026</f>
        <v>0</v>
      </c>
      <c r="AV9" s="26" t="n">
        <f aca="false">AK9*Share2027</f>
        <v>0</v>
      </c>
      <c r="AW9" s="31" t="n">
        <f aca="false">INT(AT9)</f>
        <v>0</v>
      </c>
      <c r="AX9" s="31" t="n">
        <f aca="false">INT(AU9)</f>
        <v>0</v>
      </c>
      <c r="AY9" s="31" t="n">
        <f aca="false">INT(AV9)</f>
        <v>0</v>
      </c>
      <c r="AZ9" s="26" t="n">
        <f aca="false">AT9-AW9</f>
        <v>0</v>
      </c>
      <c r="BA9" s="26" t="n">
        <f aca="false">AU9-AX9</f>
        <v>0</v>
      </c>
      <c r="BB9" s="26" t="n">
        <f aca="false">AV9-AY9</f>
        <v>0</v>
      </c>
      <c r="BC9" s="31" t="n">
        <f aca="false">AK9-AW9-AX9-AY9</f>
        <v>0</v>
      </c>
      <c r="BD9" s="27" t="n">
        <f aca="false">AW9+IF((BA9&gt;AZ9)+(BB9&gt;AZ9)&lt;BC9,1,0)</f>
        <v>0</v>
      </c>
      <c r="BE9" s="27" t="n">
        <f aca="false">AX9+IF((AZ9&gt;BA9)+(BB9&gt;BA9)+(AZ9=BA9)&lt;BC9,1,0)</f>
        <v>0</v>
      </c>
      <c r="BF9" s="27" t="n">
        <f aca="false">AY9+IF((AZ9&gt;BB9)+(BA9&gt;BB9)+(AZ9=BB9)+(BA9=BB9)&lt;BC9,1,0)</f>
        <v>0</v>
      </c>
    </row>
    <row r="10" customFormat="false" ht="15" hidden="false" customHeight="false" outlineLevel="0" collapsed="false">
      <c r="A10" s="22" t="str">
        <f aca="false">'District Data'!A10</f>
        <v>Bahawalpur</v>
      </c>
      <c r="B10" s="22" t="str">
        <f aca="false">'District Data'!C10</f>
        <v>Multan Region</v>
      </c>
      <c r="C10" s="22" t="str">
        <f aca="false">'District Data'!D10</f>
        <v>Neighbouring</v>
      </c>
      <c r="D10" s="23" t="n">
        <f aca="false">ROUND('District Data'!E10*'District Data'!F10,0)</f>
        <v>1648945</v>
      </c>
      <c r="E10" s="23" t="n">
        <f aca="false">'District Data'!I10</f>
        <v>309</v>
      </c>
      <c r="F10" s="23" t="n">
        <f aca="false">'District Data'!L10</f>
        <v>191928.8</v>
      </c>
      <c r="G10" s="24" t="n">
        <f aca="false">IFERROR(F10/(E10*Weeks),0)</f>
        <v>11.944784665173</v>
      </c>
      <c r="H10" s="25" t="n">
        <f aca="false">IFERROR('District Data'!N10/('District Data'!M10*Weeks),0)</f>
        <v>6.50296703296703</v>
      </c>
      <c r="I10" s="24" t="n">
        <f aca="false">IFERROR(SUMIFS('District Data'!$N$5:$N$119,'District Data'!$C$5:$C$119,B10)/(SUMIFS('District Data'!$M$5:$M$119,'District Data'!$C$5:$C$119,B10)*Weeks),0)</f>
        <v>8.16663285109386</v>
      </c>
      <c r="J10" s="24" t="n">
        <f aca="false">IF(TPBasis="NI TP",IF(H10&gt;0,H10,I10),G10)</f>
        <v>6.50296703296703</v>
      </c>
      <c r="K10" s="26" t="n">
        <f aca="false">IFERROR(F10/D10,0)</f>
        <v>0.116394907046627</v>
      </c>
      <c r="L10" s="27" t="n">
        <f aca="false">IFERROR(D10/E10,0)</f>
        <v>5336.39158576052</v>
      </c>
      <c r="M10" s="28" t="n">
        <f aca="false">IFERROR('District Data'!L10/'District Data'!K10-1,0)</f>
        <v>0.0239282642885645</v>
      </c>
      <c r="N10" s="28" t="n">
        <f aca="false">IFERROR(('District Data'!L10/'District Data'!J10)^(1/2)-1,0)</f>
        <v>0.0183853715479545</v>
      </c>
      <c r="O10" s="28" t="n">
        <f aca="false">IFERROR('District Data'!I10/'District Data'!H10-1,0)</f>
        <v>0.0880281690140845</v>
      </c>
      <c r="P10" s="7" t="str">
        <f aca="false">IF(K10&gt;=PCC_L1,"Layer 01",IF(K10&gt;=PCC_L2,"Layer 02",IF(K10&gt;=PCC_L3,"Layer 03",IF(K10&gt;=PCC_L4,"Layer 04","Layer 05"))))</f>
        <v>Layer 05</v>
      </c>
      <c r="Q10" s="7" t="str">
        <f aca="false">IF(L10&gt;=PPO_L1,"Layer 01",IF(L10&gt;=PPO_L2,"Layer 02",IF(L10&gt;=PPO_L3,"Layer 03",IF(L10&gt;=PPO_L4,"Layer 04","Layer 05"))))</f>
        <v>Layer 03</v>
      </c>
      <c r="R10" s="29" t="n">
        <f aca="false">D10/IdealPPO-E10</f>
        <v>1889.59333333333</v>
      </c>
      <c r="S10" s="29" t="n">
        <f aca="false">IdealTP*Weeks-(Weeks*J10+FirstFill)</f>
        <v>361.845714285714</v>
      </c>
      <c r="T10" s="29" t="n">
        <f aca="false">IF(S10&gt;0,(F10-IdealTP*Weeks*E10)/S10,1000000000000)</f>
        <v>-135.668872289689</v>
      </c>
      <c r="U10" s="27" t="n">
        <f aca="false">IF(E10&lt;=0,0,IF(G10&lt;=IdealTP,0,IF(L10&lt;=IdealPPO,0,INT(MIN(T10,R10)+0.000000001))))</f>
        <v>0</v>
      </c>
      <c r="V10" s="7" t="str">
        <f aca="false">IF(E10&lt;=0,"No current outlets",IF(G10&lt;=IdealTP,"TP already at or below ideal",IF(L10&lt;=IdealPPO,"PPO already at or below ideal",IF(T10&lt;=R10,"Stopped by TP reaching ideal","Stopped by PPO reaching ideal"))))</f>
        <v>TP already at or below ideal</v>
      </c>
      <c r="W10" s="30" t="n">
        <f aca="false">F10+U10*(Weeks*J10+FirstFill)</f>
        <v>191928.8</v>
      </c>
      <c r="X10" s="30" t="n">
        <f aca="false">E10+U10</f>
        <v>309</v>
      </c>
      <c r="Y10" s="24" t="n">
        <f aca="false">IFERROR(W10/(X10*Weeks),0)</f>
        <v>11.944784665173</v>
      </c>
      <c r="Z10" s="30" t="n">
        <f aca="false">IFERROR(D10/X10,0)</f>
        <v>5336.39158576052</v>
      </c>
      <c r="AA10" s="7" t="str">
        <f aca="false">IF(AND(K10&gt;=NationalPCC,L10&gt;IdealPPO),"Q1: High PCC, High PPO",IF(K10&gt;=NationalPCC,"Q2: High PCC, Low PPO",IF(L10&gt;IdealPPO,"Q3: Low PCC, High PPO","Q4: Low PCC, Low PPO")))</f>
        <v>Q3: Low PCC, High PPO</v>
      </c>
      <c r="AB10" s="7" t="str">
        <f aca="false">IF(K10&gt;=NationalPCC,IF(L10&gt;IdealPPO,"Phase 1","Phase 2"),"Phase 3")</f>
        <v>Phase 3</v>
      </c>
      <c r="AC10" s="7" t="str">
        <f aca="false">IF(AND(G10&gt;IdealTP,L10&gt;IdealPPO),"High TP, High PPO",IF(G10&gt;IdealTP,"High TP, Low PPO",IF(L10&gt;IdealPPO,"Low TP, High PPO","Low TP, Low PPO")))</f>
        <v>Low TP, High PPO</v>
      </c>
      <c r="AD10" s="31" t="n">
        <f aca="false">INDEX(WaveNumbers,MATCH(C10,WaveNames,0))</f>
        <v>2</v>
      </c>
      <c r="AE10" s="32" t="str">
        <f aca="false">IF(U10&gt;0,AD10*10000000+VALUE(RIGHT(AB10,1))*1000000+(1000000-U10)+ROW()/1000000,"")</f>
        <v/>
      </c>
      <c r="AF10" s="31" t="str">
        <f aca="false">IF(U10&gt;0,COUNTIFS($AE$5:$AE$119,"&lt;"&amp;AE10)+1,"")</f>
        <v/>
      </c>
      <c r="AG10" s="7" t="str">
        <f aca="false">IF(AF10="","No",IF(AF10&lt;=TopN,"Yes","No"))</f>
        <v>No</v>
      </c>
      <c r="AH10" s="30" t="n">
        <f aca="false">INT('District Data'!O10*ConvRate)</f>
        <v>73</v>
      </c>
      <c r="AI10" s="27" t="n">
        <f aca="false">MIN(U10,AH10)</f>
        <v>0</v>
      </c>
      <c r="AJ10" s="7" t="str">
        <f aca="false">IF(U10=0,"No expansion",IF(AH10&lt;U10,"Supply constrained (not enough shops)","Demand constrained (enough shops)"))</f>
        <v>No expansion</v>
      </c>
      <c r="AK10" s="30" t="n">
        <f aca="false">IF(AG10="Yes",AI10,0)</f>
        <v>0</v>
      </c>
      <c r="AL10" s="26" t="n">
        <f aca="false">IF(AG10="Yes",IF(Budget1&gt;=ShortlistFinal,AK10,AK10/ShortlistFinal*Budget1),0)</f>
        <v>0</v>
      </c>
      <c r="AM10" s="30" t="n">
        <f aca="false">INT(AL10)</f>
        <v>0</v>
      </c>
      <c r="AN10" s="26" t="n">
        <f aca="false">IF(AND(AG10="Yes",Budget1&lt;ShortlistFinal),AL10-AM10,-1)</f>
        <v>-1</v>
      </c>
      <c r="AO10" s="27" t="n">
        <f aca="false">IF(AG10&lt;&gt;"Yes",0,IF(Budget1&gt;=ShortlistFinal,AK10,AM10+IF(COUNTIFS($AN$5:$AN$119,"&gt;"&amp;AN10)+COUNTIFS($AN$5:$AN$119,AN10,$AF$5:$AF$119,"&lt;"&amp;AF10)&lt;Budget1-SUM($AM$5:$AM$119),1,0)))</f>
        <v>0</v>
      </c>
      <c r="AP10" s="26" t="n">
        <f aca="false">IF(AG10="Yes",IF(Budget2&gt;=ShortlistFinal,AK10,AK10/ShortlistFinal*Budget2),0)</f>
        <v>0</v>
      </c>
      <c r="AQ10" s="30" t="n">
        <f aca="false">INT(AP10)</f>
        <v>0</v>
      </c>
      <c r="AR10" s="26" t="n">
        <f aca="false">IF(AND(AG10="Yes",Budget2&lt;ShortlistFinal),AP10-AQ10,-1)</f>
        <v>-1</v>
      </c>
      <c r="AS10" s="27" t="n">
        <f aca="false">IF(AG10&lt;&gt;"Yes",0,IF(Budget2&gt;=ShortlistFinal,AK10,AQ10+IF(COUNTIFS($AR$5:$AR$119,"&gt;"&amp;AR10)+COUNTIFS($AR$5:$AR$119,AR10,$AF$5:$AF$119,"&lt;"&amp;AF10)&lt;Budget2-SUM($AQ$5:$AQ$119),1,0)))</f>
        <v>0</v>
      </c>
      <c r="AT10" s="26" t="n">
        <f aca="false">AK10*Share2025</f>
        <v>0</v>
      </c>
      <c r="AU10" s="26" t="n">
        <f aca="false">AK10*Share2026</f>
        <v>0</v>
      </c>
      <c r="AV10" s="26" t="n">
        <f aca="false">AK10*Share2027</f>
        <v>0</v>
      </c>
      <c r="AW10" s="31" t="n">
        <f aca="false">INT(AT10)</f>
        <v>0</v>
      </c>
      <c r="AX10" s="31" t="n">
        <f aca="false">INT(AU10)</f>
        <v>0</v>
      </c>
      <c r="AY10" s="31" t="n">
        <f aca="false">INT(AV10)</f>
        <v>0</v>
      </c>
      <c r="AZ10" s="26" t="n">
        <f aca="false">AT10-AW10</f>
        <v>0</v>
      </c>
      <c r="BA10" s="26" t="n">
        <f aca="false">AU10-AX10</f>
        <v>0</v>
      </c>
      <c r="BB10" s="26" t="n">
        <f aca="false">AV10-AY10</f>
        <v>0</v>
      </c>
      <c r="BC10" s="31" t="n">
        <f aca="false">AK10-AW10-AX10-AY10</f>
        <v>0</v>
      </c>
      <c r="BD10" s="27" t="n">
        <f aca="false">AW10+IF((BA10&gt;AZ10)+(BB10&gt;AZ10)&lt;BC10,1,0)</f>
        <v>0</v>
      </c>
      <c r="BE10" s="27" t="n">
        <f aca="false">AX10+IF((AZ10&gt;BA10)+(BB10&gt;BA10)+(AZ10=BA10)&lt;BC10,1,0)</f>
        <v>0</v>
      </c>
      <c r="BF10" s="27" t="n">
        <f aca="false">AY10+IF((AZ10&gt;BB10)+(BA10&gt;BB10)+(AZ10=BB10)+(BA10=BB10)&lt;BC10,1,0)</f>
        <v>0</v>
      </c>
    </row>
    <row r="11" customFormat="false" ht="15" hidden="false" customHeight="false" outlineLevel="0" collapsed="false">
      <c r="A11" s="22" t="str">
        <f aca="false">'District Data'!A11</f>
        <v>Bajaur</v>
      </c>
      <c r="B11" s="22" t="str">
        <f aca="false">'District Data'!C11</f>
        <v>Peshawar Region</v>
      </c>
      <c r="C11" s="22" t="str">
        <f aca="false">'District Data'!D11</f>
        <v>Rest</v>
      </c>
      <c r="D11" s="23" t="n">
        <f aca="false">ROUND('District Data'!E11*'District Data'!F11,0)</f>
        <v>153594</v>
      </c>
      <c r="E11" s="23" t="n">
        <f aca="false">'District Data'!I11</f>
        <v>17</v>
      </c>
      <c r="F11" s="23" t="n">
        <f aca="false">'District Data'!L11</f>
        <v>15684.7</v>
      </c>
      <c r="G11" s="24" t="n">
        <f aca="false">IFERROR(F11/(E11*Weeks),0)</f>
        <v>17.7428733031674</v>
      </c>
      <c r="H11" s="25" t="n">
        <f aca="false">IFERROR('District Data'!N11/('District Data'!M11*Weeks),0)</f>
        <v>19.9661538461538</v>
      </c>
      <c r="I11" s="24" t="n">
        <f aca="false">IFERROR(SUMIFS('District Data'!$N$5:$N$119,'District Data'!$C$5:$C$119,B11)/(SUMIFS('District Data'!$M$5:$M$119,'District Data'!$C$5:$C$119,B11)*Weeks),0)</f>
        <v>7.60397053195561</v>
      </c>
      <c r="J11" s="24" t="n">
        <f aca="false">IF(TPBasis="NI TP",IF(H11&gt;0,H11,I11),G11)</f>
        <v>19.9661538461538</v>
      </c>
      <c r="K11" s="26" t="n">
        <f aca="false">IFERROR(F11/D11,0)</f>
        <v>0.102117921272966</v>
      </c>
      <c r="L11" s="27" t="n">
        <f aca="false">IFERROR(D11/E11,0)</f>
        <v>9034.94117647059</v>
      </c>
      <c r="M11" s="28" t="n">
        <f aca="false">IFERROR('District Data'!L11/'District Data'!K11-1,0)</f>
        <v>0.317377792709558</v>
      </c>
      <c r="N11" s="28" t="n">
        <f aca="false">IFERROR(('District Data'!L11/'District Data'!J11)^(1/2)-1,0)</f>
        <v>0.180713355913809</v>
      </c>
      <c r="O11" s="28" t="n">
        <f aca="false">IFERROR('District Data'!I11/'District Data'!H11-1,0)</f>
        <v>0.307692307692308</v>
      </c>
      <c r="P11" s="7" t="str">
        <f aca="false">IF(K11&gt;=PCC_L1,"Layer 01",IF(K11&gt;=PCC_L2,"Layer 02",IF(K11&gt;=PCC_L3,"Layer 03",IF(K11&gt;=PCC_L4,"Layer 04","Layer 05"))))</f>
        <v>Layer 05</v>
      </c>
      <c r="Q11" s="7" t="str">
        <f aca="false">IF(L11&gt;=PPO_L1,"Layer 01",IF(L11&gt;=PPO_L2,"Layer 02",IF(L11&gt;=PPO_L3,"Layer 03",IF(L11&gt;=PPO_L4,"Layer 04","Layer 05"))))</f>
        <v>Layer 03</v>
      </c>
      <c r="R11" s="29" t="n">
        <f aca="false">D11/IdealPPO-E11</f>
        <v>187.792</v>
      </c>
      <c r="S11" s="29" t="n">
        <f aca="false">IdealTP*Weeks-(Weeks*J11+FirstFill)</f>
        <v>-338.24</v>
      </c>
      <c r="T11" s="29" t="n">
        <f aca="false">IF(S11&gt;0,(F11-IdealTP*Weeks*E11)/S11,1000000000000)</f>
        <v>1000000000000</v>
      </c>
      <c r="U11" s="27" t="n">
        <f aca="false">IF(E11&lt;=0,0,IF(G11&lt;=IdealTP,0,IF(L11&lt;=IdealPPO,0,INT(MIN(T11,R11)+0.000000001))))</f>
        <v>187</v>
      </c>
      <c r="V11" s="7" t="str">
        <f aca="false">IF(E11&lt;=0,"No current outlets",IF(G11&lt;=IdealTP,"TP already at or below ideal",IF(L11&lt;=IdealPPO,"PPO already at or below ideal",IF(T11&lt;=R11,"Stopped by TP reaching ideal","Stopped by PPO reaching ideal"))))</f>
        <v>Stopped by PPO reaching ideal</v>
      </c>
      <c r="W11" s="30" t="n">
        <f aca="false">F11+U11*(Weeks*J11+FirstFill)</f>
        <v>224795.58</v>
      </c>
      <c r="X11" s="30" t="n">
        <f aca="false">E11+U11</f>
        <v>204</v>
      </c>
      <c r="Y11" s="24" t="n">
        <f aca="false">IFERROR(W11/(X11*Weeks),0)</f>
        <v>21.1911368778281</v>
      </c>
      <c r="Z11" s="30" t="n">
        <f aca="false">IFERROR(D11/X11,0)</f>
        <v>752.911764705882</v>
      </c>
      <c r="AA11" s="7" t="str">
        <f aca="false">IF(AND(K11&gt;=NationalPCC,L11&gt;IdealPPO),"Q1: High PCC, High PPO",IF(K11&gt;=NationalPCC,"Q2: High PCC, Low PPO",IF(L11&gt;IdealPPO,"Q3: Low PCC, High PPO","Q4: Low PCC, Low PPO")))</f>
        <v>Q3: Low PCC, High PPO</v>
      </c>
      <c r="AB11" s="7" t="str">
        <f aca="false">IF(K11&gt;=NationalPCC,IF(L11&gt;IdealPPO,"Phase 1","Phase 2"),"Phase 3")</f>
        <v>Phase 3</v>
      </c>
      <c r="AC11" s="7" t="str">
        <f aca="false">IF(AND(G11&gt;IdealTP,L11&gt;IdealPPO),"High TP, High PPO",IF(G11&gt;IdealTP,"High TP, Low PPO",IF(L11&gt;IdealPPO,"Low TP, High PPO","Low TP, Low PPO")))</f>
        <v>High TP, High PPO</v>
      </c>
      <c r="AD11" s="31" t="n">
        <f aca="false">INDEX(WaveNumbers,MATCH(C11,WaveNames,0))</f>
        <v>4</v>
      </c>
      <c r="AE11" s="32" t="n">
        <f aca="false">IF(U11&gt;0,AD11*10000000+VALUE(RIGHT(AB11,1))*1000000+(1000000-U11)+ROW()/1000000,"")</f>
        <v>43999813.000011</v>
      </c>
      <c r="AF11" s="31" t="n">
        <f aca="false">IF(U11&gt;0,COUNTIFS($AE$5:$AE$119,"&lt;"&amp;AE11)+1,"")</f>
        <v>39</v>
      </c>
      <c r="AG11" s="7" t="str">
        <f aca="false">IF(AF11="","No",IF(AF11&lt;=TopN,"Yes","No"))</f>
        <v>Yes</v>
      </c>
      <c r="AH11" s="30" t="n">
        <f aca="false">INT('District Data'!O11*ConvRate)</f>
        <v>4</v>
      </c>
      <c r="AI11" s="27" t="n">
        <f aca="false">MIN(U11,AH11)</f>
        <v>4</v>
      </c>
      <c r="AJ11" s="7" t="str">
        <f aca="false">IF(U11=0,"No expansion",IF(AH11&lt;U11,"Supply constrained (not enough shops)","Demand constrained (enough shops)"))</f>
        <v>Supply constrained (not enough shops)</v>
      </c>
      <c r="AK11" s="30" t="n">
        <f aca="false">IF(AG11="Yes",AI11,0)</f>
        <v>4</v>
      </c>
      <c r="AL11" s="26" t="n">
        <f aca="false">IF(AG11="Yes",IF(Budget1&gt;=ShortlistFinal,AK11,AK11/ShortlistFinal*Budget1),0)</f>
        <v>2.36511456023651</v>
      </c>
      <c r="AM11" s="30" t="n">
        <f aca="false">INT(AL11)</f>
        <v>2</v>
      </c>
      <c r="AN11" s="26" t="n">
        <f aca="false">IF(AND(AG11="Yes",Budget1&lt;ShortlistFinal),AL11-AM11,-1)</f>
        <v>0.365114560236512</v>
      </c>
      <c r="AO11" s="27" t="n">
        <f aca="false">IF(AG11&lt;&gt;"Yes",0,IF(Budget1&gt;=ShortlistFinal,AK11,AM11+IF(COUNTIFS($AN$5:$AN$119,"&gt;"&amp;AN11)+COUNTIFS($AN$5:$AN$119,AN11,$AF$5:$AF$119,"&lt;"&amp;AF11)&lt;Budget1-SUM($AM$5:$AM$119),1,0)))</f>
        <v>2</v>
      </c>
      <c r="AP11" s="26" t="n">
        <f aca="false">IF(AG11="Yes",IF(Budget2&gt;=ShortlistFinal,AK11,AK11/ShortlistFinal*Budget2),0)</f>
        <v>3.54767184035477</v>
      </c>
      <c r="AQ11" s="30" t="n">
        <f aca="false">INT(AP11)</f>
        <v>3</v>
      </c>
      <c r="AR11" s="26" t="n">
        <f aca="false">IF(AND(AG11="Yes",Budget2&lt;ShortlistFinal),AP11-AQ11,-1)</f>
        <v>0.547671840354767</v>
      </c>
      <c r="AS11" s="27" t="n">
        <f aca="false">IF(AG11&lt;&gt;"Yes",0,IF(Budget2&gt;=ShortlistFinal,AK11,AQ11+IF(COUNTIFS($AR$5:$AR$119,"&gt;"&amp;AR11)+COUNTIFS($AR$5:$AR$119,AR11,$AF$5:$AF$119,"&lt;"&amp;AF11)&lt;Budget2-SUM($AQ$5:$AQ$119),1,0)))</f>
        <v>4</v>
      </c>
      <c r="AT11" s="26" t="n">
        <f aca="false">AK11*Share2025</f>
        <v>1.41176470588235</v>
      </c>
      <c r="AU11" s="26" t="n">
        <f aca="false">AK11*Share2026</f>
        <v>1.41176470588235</v>
      </c>
      <c r="AV11" s="26" t="n">
        <f aca="false">AK11*Share2027</f>
        <v>1.17647058823529</v>
      </c>
      <c r="AW11" s="31" t="n">
        <f aca="false">INT(AT11)</f>
        <v>1</v>
      </c>
      <c r="AX11" s="31" t="n">
        <f aca="false">INT(AU11)</f>
        <v>1</v>
      </c>
      <c r="AY11" s="31" t="n">
        <f aca="false">INT(AV11)</f>
        <v>1</v>
      </c>
      <c r="AZ11" s="26" t="n">
        <f aca="false">AT11-AW11</f>
        <v>0.411764705882353</v>
      </c>
      <c r="BA11" s="26" t="n">
        <f aca="false">AU11-AX11</f>
        <v>0.411764705882353</v>
      </c>
      <c r="BB11" s="26" t="n">
        <f aca="false">AV11-AY11</f>
        <v>0.176470588235294</v>
      </c>
      <c r="BC11" s="31" t="n">
        <f aca="false">AK11-AW11-AX11-AY11</f>
        <v>1</v>
      </c>
      <c r="BD11" s="27" t="n">
        <f aca="false">AW11+IF((BA11&gt;AZ11)+(BB11&gt;AZ11)&lt;BC11,1,0)</f>
        <v>2</v>
      </c>
      <c r="BE11" s="27" t="n">
        <f aca="false">AX11+IF((AZ11&gt;BA11)+(BB11&gt;BA11)+(AZ11=BA11)&lt;BC11,1,0)</f>
        <v>1</v>
      </c>
      <c r="BF11" s="27" t="n">
        <f aca="false">AY11+IF((AZ11&gt;BB11)+(BA11&gt;BB11)+(AZ11=BB11)+(BA11=BB11)&lt;BC11,1,0)</f>
        <v>1</v>
      </c>
    </row>
    <row r="12" customFormat="false" ht="15" hidden="false" customHeight="false" outlineLevel="0" collapsed="false">
      <c r="A12" s="22" t="str">
        <f aca="false">'District Data'!A12</f>
        <v>Bannu</v>
      </c>
      <c r="B12" s="22" t="str">
        <f aca="false">'District Data'!C12</f>
        <v>Peshawar Region</v>
      </c>
      <c r="C12" s="22" t="str">
        <f aca="false">'District Data'!D12</f>
        <v>Rest</v>
      </c>
      <c r="D12" s="23" t="n">
        <f aca="false">ROUND('District Data'!E12*'District Data'!F12,0)</f>
        <v>155031</v>
      </c>
      <c r="E12" s="23" t="n">
        <f aca="false">'District Data'!I12</f>
        <v>15</v>
      </c>
      <c r="F12" s="23" t="n">
        <f aca="false">'District Data'!L12</f>
        <v>9416.3</v>
      </c>
      <c r="G12" s="24" t="n">
        <f aca="false">IFERROR(F12/(E12*Weeks),0)</f>
        <v>12.0721794871795</v>
      </c>
      <c r="H12" s="25" t="n">
        <f aca="false">IFERROR('District Data'!N12/('District Data'!M12*Weeks),0)</f>
        <v>5.7</v>
      </c>
      <c r="I12" s="24" t="n">
        <f aca="false">IFERROR(SUMIFS('District Data'!$N$5:$N$119,'District Data'!$C$5:$C$119,B12)/(SUMIFS('District Data'!$M$5:$M$119,'District Data'!$C$5:$C$119,B12)*Weeks),0)</f>
        <v>7.60397053195561</v>
      </c>
      <c r="J12" s="24" t="n">
        <f aca="false">IF(TPBasis="NI TP",IF(H12&gt;0,H12,I12),G12)</f>
        <v>5.7</v>
      </c>
      <c r="K12" s="26" t="n">
        <f aca="false">IFERROR(F12/D12,0)</f>
        <v>0.060738174945656</v>
      </c>
      <c r="L12" s="27" t="n">
        <f aca="false">IFERROR(D12/E12,0)</f>
        <v>10335.4</v>
      </c>
      <c r="M12" s="28" t="n">
        <f aca="false">IFERROR('District Data'!L12/'District Data'!K12-1,0)</f>
        <v>-0.137977754382753</v>
      </c>
      <c r="N12" s="28" t="n">
        <f aca="false">IFERROR(('District Data'!L12/'District Data'!J12)^(1/2)-1,0)</f>
        <v>-0.0495137081661161</v>
      </c>
      <c r="O12" s="28" t="n">
        <f aca="false">IFERROR('District Data'!I12/'District Data'!H12-1,0)</f>
        <v>0</v>
      </c>
      <c r="P12" s="7" t="str">
        <f aca="false">IF(K12&gt;=PCC_L1,"Layer 01",IF(K12&gt;=PCC_L2,"Layer 02",IF(K12&gt;=PCC_L3,"Layer 03",IF(K12&gt;=PCC_L4,"Layer 04","Layer 05"))))</f>
        <v>Layer 05</v>
      </c>
      <c r="Q12" s="7" t="str">
        <f aca="false">IF(L12&gt;=PPO_L1,"Layer 01",IF(L12&gt;=PPO_L2,"Layer 02",IF(L12&gt;=PPO_L3,"Layer 03",IF(L12&gt;=PPO_L4,"Layer 04","Layer 05"))))</f>
        <v>Layer 03</v>
      </c>
      <c r="R12" s="29" t="n">
        <f aca="false">D12/IdealPPO-E12</f>
        <v>191.708</v>
      </c>
      <c r="S12" s="29" t="n">
        <f aca="false">IdealTP*Weeks-(Weeks*J12+FirstFill)</f>
        <v>403.6</v>
      </c>
      <c r="T12" s="29" t="n">
        <f aca="false">IF(S12&gt;0,(F12-IdealTP*Weeks*E12)/S12,1000000000000)</f>
        <v>-5.65832507433102</v>
      </c>
      <c r="U12" s="27" t="n">
        <f aca="false">IF(E12&lt;=0,0,IF(G12&lt;=IdealTP,0,IF(L12&lt;=IdealPPO,0,INT(MIN(T12,R12)+0.000000001))))</f>
        <v>0</v>
      </c>
      <c r="V12" s="7" t="str">
        <f aca="false">IF(E12&lt;=0,"No current outlets",IF(G12&lt;=IdealTP,"TP already at or below ideal",IF(L12&lt;=IdealPPO,"PPO already at or below ideal",IF(T12&lt;=R12,"Stopped by TP reaching ideal","Stopped by PPO reaching ideal"))))</f>
        <v>TP already at or below ideal</v>
      </c>
      <c r="W12" s="30" t="n">
        <f aca="false">F12+U12*(Weeks*J12+FirstFill)</f>
        <v>9416.3</v>
      </c>
      <c r="X12" s="30" t="n">
        <f aca="false">E12+U12</f>
        <v>15</v>
      </c>
      <c r="Y12" s="24" t="n">
        <f aca="false">IFERROR(W12/(X12*Weeks),0)</f>
        <v>12.0721794871795</v>
      </c>
      <c r="Z12" s="30" t="n">
        <f aca="false">IFERROR(D12/X12,0)</f>
        <v>10335.4</v>
      </c>
      <c r="AA12" s="7" t="str">
        <f aca="false">IF(AND(K12&gt;=NationalPCC,L12&gt;IdealPPO),"Q1: High PCC, High PPO",IF(K12&gt;=NationalPCC,"Q2: High PCC, Low PPO",IF(L12&gt;IdealPPO,"Q3: Low PCC, High PPO","Q4: Low PCC, Low PPO")))</f>
        <v>Q3: Low PCC, High PPO</v>
      </c>
      <c r="AB12" s="7" t="str">
        <f aca="false">IF(K12&gt;=NationalPCC,IF(L12&gt;IdealPPO,"Phase 1","Phase 2"),"Phase 3")</f>
        <v>Phase 3</v>
      </c>
      <c r="AC12" s="7" t="str">
        <f aca="false">IF(AND(G12&gt;IdealTP,L12&gt;IdealPPO),"High TP, High PPO",IF(G12&gt;IdealTP,"High TP, Low PPO",IF(L12&gt;IdealPPO,"Low TP, High PPO","Low TP, Low PPO")))</f>
        <v>Low TP, High PPO</v>
      </c>
      <c r="AD12" s="31" t="n">
        <f aca="false">INDEX(WaveNumbers,MATCH(C12,WaveNames,0))</f>
        <v>4</v>
      </c>
      <c r="AE12" s="32" t="str">
        <f aca="false">IF(U12&gt;0,AD12*10000000+VALUE(RIGHT(AB12,1))*1000000+(1000000-U12)+ROW()/1000000,"")</f>
        <v/>
      </c>
      <c r="AF12" s="31" t="str">
        <f aca="false">IF(U12&gt;0,COUNTIFS($AE$5:$AE$119,"&lt;"&amp;AE12)+1,"")</f>
        <v/>
      </c>
      <c r="AG12" s="7" t="str">
        <f aca="false">IF(AF12="","No",IF(AF12&lt;=TopN,"Yes","No"))</f>
        <v>No</v>
      </c>
      <c r="AH12" s="30" t="n">
        <f aca="false">INT('District Data'!O12*ConvRate)</f>
        <v>10</v>
      </c>
      <c r="AI12" s="27" t="n">
        <f aca="false">MIN(U12,AH12)</f>
        <v>0</v>
      </c>
      <c r="AJ12" s="7" t="str">
        <f aca="false">IF(U12=0,"No expansion",IF(AH12&lt;U12,"Supply constrained (not enough shops)","Demand constrained (enough shops)"))</f>
        <v>No expansion</v>
      </c>
      <c r="AK12" s="30" t="n">
        <f aca="false">IF(AG12="Yes",AI12,0)</f>
        <v>0</v>
      </c>
      <c r="AL12" s="26" t="n">
        <f aca="false">IF(AG12="Yes",IF(Budget1&gt;=ShortlistFinal,AK12,AK12/ShortlistFinal*Budget1),0)</f>
        <v>0</v>
      </c>
      <c r="AM12" s="30" t="n">
        <f aca="false">INT(AL12)</f>
        <v>0</v>
      </c>
      <c r="AN12" s="26" t="n">
        <f aca="false">IF(AND(AG12="Yes",Budget1&lt;ShortlistFinal),AL12-AM12,-1)</f>
        <v>-1</v>
      </c>
      <c r="AO12" s="27" t="n">
        <f aca="false">IF(AG12&lt;&gt;"Yes",0,IF(Budget1&gt;=ShortlistFinal,AK12,AM12+IF(COUNTIFS($AN$5:$AN$119,"&gt;"&amp;AN12)+COUNTIFS($AN$5:$AN$119,AN12,$AF$5:$AF$119,"&lt;"&amp;AF12)&lt;Budget1-SUM($AM$5:$AM$119),1,0)))</f>
        <v>0</v>
      </c>
      <c r="AP12" s="26" t="n">
        <f aca="false">IF(AG12="Yes",IF(Budget2&gt;=ShortlistFinal,AK12,AK12/ShortlistFinal*Budget2),0)</f>
        <v>0</v>
      </c>
      <c r="AQ12" s="30" t="n">
        <f aca="false">INT(AP12)</f>
        <v>0</v>
      </c>
      <c r="AR12" s="26" t="n">
        <f aca="false">IF(AND(AG12="Yes",Budget2&lt;ShortlistFinal),AP12-AQ12,-1)</f>
        <v>-1</v>
      </c>
      <c r="AS12" s="27" t="n">
        <f aca="false">IF(AG12&lt;&gt;"Yes",0,IF(Budget2&gt;=ShortlistFinal,AK12,AQ12+IF(COUNTIFS($AR$5:$AR$119,"&gt;"&amp;AR12)+COUNTIFS($AR$5:$AR$119,AR12,$AF$5:$AF$119,"&lt;"&amp;AF12)&lt;Budget2-SUM($AQ$5:$AQ$119),1,0)))</f>
        <v>0</v>
      </c>
      <c r="AT12" s="26" t="n">
        <f aca="false">AK12*Share2025</f>
        <v>0</v>
      </c>
      <c r="AU12" s="26" t="n">
        <f aca="false">AK12*Share2026</f>
        <v>0</v>
      </c>
      <c r="AV12" s="26" t="n">
        <f aca="false">AK12*Share2027</f>
        <v>0</v>
      </c>
      <c r="AW12" s="31" t="n">
        <f aca="false">INT(AT12)</f>
        <v>0</v>
      </c>
      <c r="AX12" s="31" t="n">
        <f aca="false">INT(AU12)</f>
        <v>0</v>
      </c>
      <c r="AY12" s="31" t="n">
        <f aca="false">INT(AV12)</f>
        <v>0</v>
      </c>
      <c r="AZ12" s="26" t="n">
        <f aca="false">AT12-AW12</f>
        <v>0</v>
      </c>
      <c r="BA12" s="26" t="n">
        <f aca="false">AU12-AX12</f>
        <v>0</v>
      </c>
      <c r="BB12" s="26" t="n">
        <f aca="false">AV12-AY12</f>
        <v>0</v>
      </c>
      <c r="BC12" s="31" t="n">
        <f aca="false">AK12-AW12-AX12-AY12</f>
        <v>0</v>
      </c>
      <c r="BD12" s="27" t="n">
        <f aca="false">AW12+IF((BA12&gt;AZ12)+(BB12&gt;AZ12)&lt;BC12,1,0)</f>
        <v>0</v>
      </c>
      <c r="BE12" s="27" t="n">
        <f aca="false">AX12+IF((AZ12&gt;BA12)+(BB12&gt;BA12)+(AZ12=BA12)&lt;BC12,1,0)</f>
        <v>0</v>
      </c>
      <c r="BF12" s="27" t="n">
        <f aca="false">AY12+IF((AZ12&gt;BB12)+(BA12&gt;BB12)+(AZ12=BB12)+(BA12=BB12)&lt;BC12,1,0)</f>
        <v>0</v>
      </c>
    </row>
    <row r="13" customFormat="false" ht="15" hidden="false" customHeight="false" outlineLevel="0" collapsed="false">
      <c r="A13" s="22" t="str">
        <f aca="false">'District Data'!A13</f>
        <v>Barkhan</v>
      </c>
      <c r="B13" s="22" t="str">
        <f aca="false">'District Data'!C13</f>
        <v>Multan Region</v>
      </c>
      <c r="C13" s="22" t="str">
        <f aca="false">'District Data'!D13</f>
        <v>Rest</v>
      </c>
      <c r="D13" s="23" t="n">
        <f aca="false">ROUND('District Data'!E13*'District Data'!F13,0)</f>
        <v>22196</v>
      </c>
      <c r="E13" s="23" t="n">
        <f aca="false">'District Data'!I13</f>
        <v>2</v>
      </c>
      <c r="F13" s="23" t="n">
        <f aca="false">'District Data'!L13</f>
        <v>1300.4</v>
      </c>
      <c r="G13" s="24" t="n">
        <f aca="false">IFERROR(F13/(E13*Weeks),0)</f>
        <v>12.5038461538462</v>
      </c>
      <c r="H13" s="25" t="n">
        <f aca="false">IFERROR('District Data'!N13/('District Data'!M13*Weeks),0)</f>
        <v>0</v>
      </c>
      <c r="I13" s="24" t="n">
        <f aca="false">IFERROR(SUMIFS('District Data'!$N$5:$N$119,'District Data'!$C$5:$C$119,B13)/(SUMIFS('District Data'!$M$5:$M$119,'District Data'!$C$5:$C$119,B13)*Weeks),0)</f>
        <v>8.16663285109386</v>
      </c>
      <c r="J13" s="24" t="n">
        <f aca="false">IF(TPBasis="NI TP",IF(H13&gt;0,H13,I13),G13)</f>
        <v>8.16663285109386</v>
      </c>
      <c r="K13" s="26" t="n">
        <f aca="false">IFERROR(F13/D13,0)</f>
        <v>0.0585871328167237</v>
      </c>
      <c r="L13" s="27" t="n">
        <f aca="false">IFERROR(D13/E13,0)</f>
        <v>11098</v>
      </c>
      <c r="M13" s="28" t="n">
        <f aca="false">IFERROR('District Data'!L13/'District Data'!K13-1,0)</f>
        <v>-0.0400826751310253</v>
      </c>
      <c r="N13" s="28" t="n">
        <f aca="false">IFERROR(('District Data'!L13/'District Data'!J13)^(1/2)-1,0)</f>
        <v>-0.0400597618752638</v>
      </c>
      <c r="O13" s="28" t="n">
        <f aca="false">IFERROR('District Data'!I13/'District Data'!H13-1,0)</f>
        <v>0</v>
      </c>
      <c r="P13" s="7" t="str">
        <f aca="false">IF(K13&gt;=PCC_L1,"Layer 01",IF(K13&gt;=PCC_L2,"Layer 02",IF(K13&gt;=PCC_L3,"Layer 03",IF(K13&gt;=PCC_L4,"Layer 04","Layer 05"))))</f>
        <v>Layer 05</v>
      </c>
      <c r="Q13" s="7" t="str">
        <f aca="false">IF(L13&gt;=PPO_L1,"Layer 01",IF(L13&gt;=PPO_L2,"Layer 02",IF(L13&gt;=PPO_L3,"Layer 03",IF(L13&gt;=PPO_L4,"Layer 04","Layer 05"))))</f>
        <v>Layer 03</v>
      </c>
      <c r="R13" s="29" t="n">
        <f aca="false">D13/IdealPPO-E13</f>
        <v>27.5946666666667</v>
      </c>
      <c r="S13" s="29" t="n">
        <f aca="false">IdealTP*Weeks-(Weeks*J13+FirstFill)</f>
        <v>275.335091743119</v>
      </c>
      <c r="T13" s="29" t="n">
        <f aca="false">IF(S13&gt;0,(F13-IdealTP*Weeks*E13)/S13,1000000000000)</f>
        <v>-0.942851121360877</v>
      </c>
      <c r="U13" s="27" t="n">
        <f aca="false">IF(E13&lt;=0,0,IF(G13&lt;=IdealTP,0,IF(L13&lt;=IdealPPO,0,INT(MIN(T13,R13)+0.000000001))))</f>
        <v>0</v>
      </c>
      <c r="V13" s="7" t="str">
        <f aca="false">IF(E13&lt;=0,"No current outlets",IF(G13&lt;=IdealTP,"TP already at or below ideal",IF(L13&lt;=IdealPPO,"PPO already at or below ideal",IF(T13&lt;=R13,"Stopped by TP reaching ideal","Stopped by PPO reaching ideal"))))</f>
        <v>TP already at or below ideal</v>
      </c>
      <c r="W13" s="30" t="n">
        <f aca="false">F13+U13*(Weeks*J13+FirstFill)</f>
        <v>1300.4</v>
      </c>
      <c r="X13" s="30" t="n">
        <f aca="false">E13+U13</f>
        <v>2</v>
      </c>
      <c r="Y13" s="24" t="n">
        <f aca="false">IFERROR(W13/(X13*Weeks),0)</f>
        <v>12.5038461538462</v>
      </c>
      <c r="Z13" s="30" t="n">
        <f aca="false">IFERROR(D13/X13,0)</f>
        <v>11098</v>
      </c>
      <c r="AA13" s="7" t="str">
        <f aca="false">IF(AND(K13&gt;=NationalPCC,L13&gt;IdealPPO),"Q1: High PCC, High PPO",IF(K13&gt;=NationalPCC,"Q2: High PCC, Low PPO",IF(L13&gt;IdealPPO,"Q3: Low PCC, High PPO","Q4: Low PCC, Low PPO")))</f>
        <v>Q3: Low PCC, High PPO</v>
      </c>
      <c r="AB13" s="7" t="str">
        <f aca="false">IF(K13&gt;=NationalPCC,IF(L13&gt;IdealPPO,"Phase 1","Phase 2"),"Phase 3")</f>
        <v>Phase 3</v>
      </c>
      <c r="AC13" s="7" t="str">
        <f aca="false">IF(AND(G13&gt;IdealTP,L13&gt;IdealPPO),"High TP, High PPO",IF(G13&gt;IdealTP,"High TP, Low PPO",IF(L13&gt;IdealPPO,"Low TP, High PPO","Low TP, Low PPO")))</f>
        <v>Low TP, High PPO</v>
      </c>
      <c r="AD13" s="31" t="n">
        <f aca="false">INDEX(WaveNumbers,MATCH(C13,WaveNames,0))</f>
        <v>4</v>
      </c>
      <c r="AE13" s="32" t="str">
        <f aca="false">IF(U13&gt;0,AD13*10000000+VALUE(RIGHT(AB13,1))*1000000+(1000000-U13)+ROW()/1000000,"")</f>
        <v/>
      </c>
      <c r="AF13" s="31" t="str">
        <f aca="false">IF(U13&gt;0,COUNTIFS($AE$5:$AE$119,"&lt;"&amp;AE13)+1,"")</f>
        <v/>
      </c>
      <c r="AG13" s="7" t="str">
        <f aca="false">IF(AF13="","No",IF(AF13&lt;=TopN,"Yes","No"))</f>
        <v>No</v>
      </c>
      <c r="AH13" s="30" t="n">
        <f aca="false">INT('District Data'!O13*ConvRate)</f>
        <v>1</v>
      </c>
      <c r="AI13" s="27" t="n">
        <f aca="false">MIN(U13,AH13)</f>
        <v>0</v>
      </c>
      <c r="AJ13" s="7" t="str">
        <f aca="false">IF(U13=0,"No expansion",IF(AH13&lt;U13,"Supply constrained (not enough shops)","Demand constrained (enough shops)"))</f>
        <v>No expansion</v>
      </c>
      <c r="AK13" s="30" t="n">
        <f aca="false">IF(AG13="Yes",AI13,0)</f>
        <v>0</v>
      </c>
      <c r="AL13" s="26" t="n">
        <f aca="false">IF(AG13="Yes",IF(Budget1&gt;=ShortlistFinal,AK13,AK13/ShortlistFinal*Budget1),0)</f>
        <v>0</v>
      </c>
      <c r="AM13" s="30" t="n">
        <f aca="false">INT(AL13)</f>
        <v>0</v>
      </c>
      <c r="AN13" s="26" t="n">
        <f aca="false">IF(AND(AG13="Yes",Budget1&lt;ShortlistFinal),AL13-AM13,-1)</f>
        <v>-1</v>
      </c>
      <c r="AO13" s="27" t="n">
        <f aca="false">IF(AG13&lt;&gt;"Yes",0,IF(Budget1&gt;=ShortlistFinal,AK13,AM13+IF(COUNTIFS($AN$5:$AN$119,"&gt;"&amp;AN13)+COUNTIFS($AN$5:$AN$119,AN13,$AF$5:$AF$119,"&lt;"&amp;AF13)&lt;Budget1-SUM($AM$5:$AM$119),1,0)))</f>
        <v>0</v>
      </c>
      <c r="AP13" s="26" t="n">
        <f aca="false">IF(AG13="Yes",IF(Budget2&gt;=ShortlistFinal,AK13,AK13/ShortlistFinal*Budget2),0)</f>
        <v>0</v>
      </c>
      <c r="AQ13" s="30" t="n">
        <f aca="false">INT(AP13)</f>
        <v>0</v>
      </c>
      <c r="AR13" s="26" t="n">
        <f aca="false">IF(AND(AG13="Yes",Budget2&lt;ShortlistFinal),AP13-AQ13,-1)</f>
        <v>-1</v>
      </c>
      <c r="AS13" s="27" t="n">
        <f aca="false">IF(AG13&lt;&gt;"Yes",0,IF(Budget2&gt;=ShortlistFinal,AK13,AQ13+IF(COUNTIFS($AR$5:$AR$119,"&gt;"&amp;AR13)+COUNTIFS($AR$5:$AR$119,AR13,$AF$5:$AF$119,"&lt;"&amp;AF13)&lt;Budget2-SUM($AQ$5:$AQ$119),1,0)))</f>
        <v>0</v>
      </c>
      <c r="AT13" s="26" t="n">
        <f aca="false">AK13*Share2025</f>
        <v>0</v>
      </c>
      <c r="AU13" s="26" t="n">
        <f aca="false">AK13*Share2026</f>
        <v>0</v>
      </c>
      <c r="AV13" s="26" t="n">
        <f aca="false">AK13*Share2027</f>
        <v>0</v>
      </c>
      <c r="AW13" s="31" t="n">
        <f aca="false">INT(AT13)</f>
        <v>0</v>
      </c>
      <c r="AX13" s="31" t="n">
        <f aca="false">INT(AU13)</f>
        <v>0</v>
      </c>
      <c r="AY13" s="31" t="n">
        <f aca="false">INT(AV13)</f>
        <v>0</v>
      </c>
      <c r="AZ13" s="26" t="n">
        <f aca="false">AT13-AW13</f>
        <v>0</v>
      </c>
      <c r="BA13" s="26" t="n">
        <f aca="false">AU13-AX13</f>
        <v>0</v>
      </c>
      <c r="BB13" s="26" t="n">
        <f aca="false">AV13-AY13</f>
        <v>0</v>
      </c>
      <c r="BC13" s="31" t="n">
        <f aca="false">AK13-AW13-AX13-AY13</f>
        <v>0</v>
      </c>
      <c r="BD13" s="27" t="n">
        <f aca="false">AW13+IF((BA13&gt;AZ13)+(BB13&gt;AZ13)&lt;BC13,1,0)</f>
        <v>0</v>
      </c>
      <c r="BE13" s="27" t="n">
        <f aca="false">AX13+IF((AZ13&gt;BA13)+(BB13&gt;BA13)+(AZ13=BA13)&lt;BC13,1,0)</f>
        <v>0</v>
      </c>
      <c r="BF13" s="27" t="n">
        <f aca="false">AY13+IF((AZ13&gt;BB13)+(BA13&gt;BB13)+(AZ13=BB13)+(BA13=BB13)&lt;BC13,1,0)</f>
        <v>0</v>
      </c>
    </row>
    <row r="14" customFormat="false" ht="15" hidden="false" customHeight="false" outlineLevel="0" collapsed="false">
      <c r="A14" s="22" t="str">
        <f aca="false">'District Data'!A14</f>
        <v>Battagram</v>
      </c>
      <c r="B14" s="22" t="str">
        <f aca="false">'District Data'!C14</f>
        <v>Islamabad Region</v>
      </c>
      <c r="C14" s="22" t="str">
        <f aca="false">'District Data'!D14</f>
        <v>Rest</v>
      </c>
      <c r="D14" s="23" t="n">
        <f aca="false">ROUND('District Data'!E14*'District Data'!F14,0)</f>
        <v>78980</v>
      </c>
      <c r="E14" s="23" t="n">
        <f aca="false">'District Data'!I14</f>
        <v>11</v>
      </c>
      <c r="F14" s="23" t="n">
        <f aca="false">'District Data'!L14</f>
        <v>6229.2</v>
      </c>
      <c r="G14" s="24" t="n">
        <f aca="false">IFERROR(F14/(E14*Weeks),0)</f>
        <v>10.8902097902098</v>
      </c>
      <c r="H14" s="25" t="n">
        <f aca="false">IFERROR('District Data'!N14/('District Data'!M14*Weeks),0)</f>
        <v>4.61057692307692</v>
      </c>
      <c r="I14" s="24" t="n">
        <f aca="false">IFERROR(SUMIFS('District Data'!$N$5:$N$119,'District Data'!$C$5:$C$119,B14)/(SUMIFS('District Data'!$M$5:$M$119,'District Data'!$C$5:$C$119,B14)*Weeks),0)</f>
        <v>8.40311578665237</v>
      </c>
      <c r="J14" s="24" t="n">
        <f aca="false">IF(TPBasis="NI TP",IF(H14&gt;0,H14,I14),G14)</f>
        <v>4.61057692307692</v>
      </c>
      <c r="K14" s="26" t="n">
        <f aca="false">IFERROR(F14/D14,0)</f>
        <v>0.0788706001519372</v>
      </c>
      <c r="L14" s="27" t="n">
        <f aca="false">IFERROR(D14/E14,0)</f>
        <v>7180</v>
      </c>
      <c r="M14" s="28" t="n">
        <f aca="false">IFERROR('District Data'!L14/'District Data'!K14-1,0)</f>
        <v>0.102845103836553</v>
      </c>
      <c r="N14" s="28" t="n">
        <f aca="false">IFERROR(('District Data'!L14/'District Data'!J14)^(1/2)-1,0)</f>
        <v>0.0511697633574206</v>
      </c>
      <c r="O14" s="28" t="n">
        <f aca="false">IFERROR('District Data'!I14/'District Data'!H14-1,0)</f>
        <v>0.222222222222222</v>
      </c>
      <c r="P14" s="7" t="str">
        <f aca="false">IF(K14&gt;=PCC_L1,"Layer 01",IF(K14&gt;=PCC_L2,"Layer 02",IF(K14&gt;=PCC_L3,"Layer 03",IF(K14&gt;=PCC_L4,"Layer 04","Layer 05"))))</f>
        <v>Layer 05</v>
      </c>
      <c r="Q14" s="7" t="str">
        <f aca="false">IF(L14&gt;=PPO_L1,"Layer 01",IF(L14&gt;=PPO_L2,"Layer 02",IF(L14&gt;=PPO_L3,"Layer 03",IF(L14&gt;=PPO_L4,"Layer 04","Layer 05"))))</f>
        <v>Layer 03</v>
      </c>
      <c r="R14" s="29" t="n">
        <f aca="false">D14/IdealPPO-E14</f>
        <v>94.3066666666667</v>
      </c>
      <c r="S14" s="29" t="n">
        <f aca="false">IdealTP*Weeks-(Weeks*J14+FirstFill)</f>
        <v>460.25</v>
      </c>
      <c r="T14" s="29" t="n">
        <f aca="false">IF(S14&gt;0,(F14-IdealTP*Weeks*E14)/S14,1000000000000)</f>
        <v>-5.10765888104291</v>
      </c>
      <c r="U14" s="27" t="n">
        <f aca="false">IF(E14&lt;=0,0,IF(G14&lt;=IdealTP,0,IF(L14&lt;=IdealPPO,0,INT(MIN(T14,R14)+0.000000001))))</f>
        <v>0</v>
      </c>
      <c r="V14" s="7" t="str">
        <f aca="false">IF(E14&lt;=0,"No current outlets",IF(G14&lt;=IdealTP,"TP already at or below ideal",IF(L14&lt;=IdealPPO,"PPO already at or below ideal",IF(T14&lt;=R14,"Stopped by TP reaching ideal","Stopped by PPO reaching ideal"))))</f>
        <v>TP already at or below ideal</v>
      </c>
      <c r="W14" s="30" t="n">
        <f aca="false">F14+U14*(Weeks*J14+FirstFill)</f>
        <v>6229.2</v>
      </c>
      <c r="X14" s="30" t="n">
        <f aca="false">E14+U14</f>
        <v>11</v>
      </c>
      <c r="Y14" s="24" t="n">
        <f aca="false">IFERROR(W14/(X14*Weeks),0)</f>
        <v>10.8902097902098</v>
      </c>
      <c r="Z14" s="30" t="n">
        <f aca="false">IFERROR(D14/X14,0)</f>
        <v>7180</v>
      </c>
      <c r="AA14" s="7" t="str">
        <f aca="false">IF(AND(K14&gt;=NationalPCC,L14&gt;IdealPPO),"Q1: High PCC, High PPO",IF(K14&gt;=NationalPCC,"Q2: High PCC, Low PPO",IF(L14&gt;IdealPPO,"Q3: Low PCC, High PPO","Q4: Low PCC, Low PPO")))</f>
        <v>Q3: Low PCC, High PPO</v>
      </c>
      <c r="AB14" s="7" t="str">
        <f aca="false">IF(K14&gt;=NationalPCC,IF(L14&gt;IdealPPO,"Phase 1","Phase 2"),"Phase 3")</f>
        <v>Phase 3</v>
      </c>
      <c r="AC14" s="7" t="str">
        <f aca="false">IF(AND(G14&gt;IdealTP,L14&gt;IdealPPO),"High TP, High PPO",IF(G14&gt;IdealTP,"High TP, Low PPO",IF(L14&gt;IdealPPO,"Low TP, High PPO","Low TP, Low PPO")))</f>
        <v>Low TP, High PPO</v>
      </c>
      <c r="AD14" s="31" t="n">
        <f aca="false">INDEX(WaveNumbers,MATCH(C14,WaveNames,0))</f>
        <v>4</v>
      </c>
      <c r="AE14" s="32" t="str">
        <f aca="false">IF(U14&gt;0,AD14*10000000+VALUE(RIGHT(AB14,1))*1000000+(1000000-U14)+ROW()/1000000,"")</f>
        <v/>
      </c>
      <c r="AF14" s="31" t="str">
        <f aca="false">IF(U14&gt;0,COUNTIFS($AE$5:$AE$119,"&lt;"&amp;AE14)+1,"")</f>
        <v/>
      </c>
      <c r="AG14" s="7" t="str">
        <f aca="false">IF(AF14="","No",IF(AF14&lt;=TopN,"Yes","No"))</f>
        <v>No</v>
      </c>
      <c r="AH14" s="30" t="n">
        <f aca="false">INT('District Data'!O14*ConvRate)</f>
        <v>2</v>
      </c>
      <c r="AI14" s="27" t="n">
        <f aca="false">MIN(U14,AH14)</f>
        <v>0</v>
      </c>
      <c r="AJ14" s="7" t="str">
        <f aca="false">IF(U14=0,"No expansion",IF(AH14&lt;U14,"Supply constrained (not enough shops)","Demand constrained (enough shops)"))</f>
        <v>No expansion</v>
      </c>
      <c r="AK14" s="30" t="n">
        <f aca="false">IF(AG14="Yes",AI14,0)</f>
        <v>0</v>
      </c>
      <c r="AL14" s="26" t="n">
        <f aca="false">IF(AG14="Yes",IF(Budget1&gt;=ShortlistFinal,AK14,AK14/ShortlistFinal*Budget1),0)</f>
        <v>0</v>
      </c>
      <c r="AM14" s="30" t="n">
        <f aca="false">INT(AL14)</f>
        <v>0</v>
      </c>
      <c r="AN14" s="26" t="n">
        <f aca="false">IF(AND(AG14="Yes",Budget1&lt;ShortlistFinal),AL14-AM14,-1)</f>
        <v>-1</v>
      </c>
      <c r="AO14" s="27" t="n">
        <f aca="false">IF(AG14&lt;&gt;"Yes",0,IF(Budget1&gt;=ShortlistFinal,AK14,AM14+IF(COUNTIFS($AN$5:$AN$119,"&gt;"&amp;AN14)+COUNTIFS($AN$5:$AN$119,AN14,$AF$5:$AF$119,"&lt;"&amp;AF14)&lt;Budget1-SUM($AM$5:$AM$119),1,0)))</f>
        <v>0</v>
      </c>
      <c r="AP14" s="26" t="n">
        <f aca="false">IF(AG14="Yes",IF(Budget2&gt;=ShortlistFinal,AK14,AK14/ShortlistFinal*Budget2),0)</f>
        <v>0</v>
      </c>
      <c r="AQ14" s="30" t="n">
        <f aca="false">INT(AP14)</f>
        <v>0</v>
      </c>
      <c r="AR14" s="26" t="n">
        <f aca="false">IF(AND(AG14="Yes",Budget2&lt;ShortlistFinal),AP14-AQ14,-1)</f>
        <v>-1</v>
      </c>
      <c r="AS14" s="27" t="n">
        <f aca="false">IF(AG14&lt;&gt;"Yes",0,IF(Budget2&gt;=ShortlistFinal,AK14,AQ14+IF(COUNTIFS($AR$5:$AR$119,"&gt;"&amp;AR14)+COUNTIFS($AR$5:$AR$119,AR14,$AF$5:$AF$119,"&lt;"&amp;AF14)&lt;Budget2-SUM($AQ$5:$AQ$119),1,0)))</f>
        <v>0</v>
      </c>
      <c r="AT14" s="26" t="n">
        <f aca="false">AK14*Share2025</f>
        <v>0</v>
      </c>
      <c r="AU14" s="26" t="n">
        <f aca="false">AK14*Share2026</f>
        <v>0</v>
      </c>
      <c r="AV14" s="26" t="n">
        <f aca="false">AK14*Share2027</f>
        <v>0</v>
      </c>
      <c r="AW14" s="31" t="n">
        <f aca="false">INT(AT14)</f>
        <v>0</v>
      </c>
      <c r="AX14" s="31" t="n">
        <f aca="false">INT(AU14)</f>
        <v>0</v>
      </c>
      <c r="AY14" s="31" t="n">
        <f aca="false">INT(AV14)</f>
        <v>0</v>
      </c>
      <c r="AZ14" s="26" t="n">
        <f aca="false">AT14-AW14</f>
        <v>0</v>
      </c>
      <c r="BA14" s="26" t="n">
        <f aca="false">AU14-AX14</f>
        <v>0</v>
      </c>
      <c r="BB14" s="26" t="n">
        <f aca="false">AV14-AY14</f>
        <v>0</v>
      </c>
      <c r="BC14" s="31" t="n">
        <f aca="false">AK14-AW14-AX14-AY14</f>
        <v>0</v>
      </c>
      <c r="BD14" s="27" t="n">
        <f aca="false">AW14+IF((BA14&gt;AZ14)+(BB14&gt;AZ14)&lt;BC14,1,0)</f>
        <v>0</v>
      </c>
      <c r="BE14" s="27" t="n">
        <f aca="false">AX14+IF((AZ14&gt;BA14)+(BB14&gt;BA14)+(AZ14=BA14)&lt;BC14,1,0)</f>
        <v>0</v>
      </c>
      <c r="BF14" s="27" t="n">
        <f aca="false">AY14+IF((AZ14&gt;BB14)+(BA14&gt;BB14)+(AZ14=BB14)+(BA14=BB14)&lt;BC14,1,0)</f>
        <v>0</v>
      </c>
    </row>
    <row r="15" customFormat="false" ht="15" hidden="false" customHeight="false" outlineLevel="0" collapsed="false">
      <c r="A15" s="22" t="str">
        <f aca="false">'District Data'!A15</f>
        <v>Bhakkar</v>
      </c>
      <c r="B15" s="22" t="str">
        <f aca="false">'District Data'!C15</f>
        <v>Multan Region</v>
      </c>
      <c r="C15" s="22" t="str">
        <f aca="false">'District Data'!D15</f>
        <v>Neighbouring</v>
      </c>
      <c r="D15" s="23" t="n">
        <f aca="false">ROUND('District Data'!E15*'District Data'!F15,0)</f>
        <v>423035</v>
      </c>
      <c r="E15" s="23" t="n">
        <f aca="false">'District Data'!I15</f>
        <v>38</v>
      </c>
      <c r="F15" s="23" t="n">
        <f aca="false">'District Data'!L15</f>
        <v>33995.5</v>
      </c>
      <c r="G15" s="24" t="n">
        <f aca="false">IFERROR(F15/(E15*Weeks),0)</f>
        <v>17.2042004048583</v>
      </c>
      <c r="H15" s="25" t="n">
        <f aca="false">IFERROR('District Data'!N15/('District Data'!M15*Weeks),0)</f>
        <v>15.0995192307692</v>
      </c>
      <c r="I15" s="24" t="n">
        <f aca="false">IFERROR(SUMIFS('District Data'!$N$5:$N$119,'District Data'!$C$5:$C$119,B15)/(SUMIFS('District Data'!$M$5:$M$119,'District Data'!$C$5:$C$119,B15)*Weeks),0)</f>
        <v>8.16663285109386</v>
      </c>
      <c r="J15" s="24" t="n">
        <f aca="false">IF(TPBasis="NI TP",IF(H15&gt;0,H15,I15),G15)</f>
        <v>15.0995192307692</v>
      </c>
      <c r="K15" s="26" t="n">
        <f aca="false">IFERROR(F15/D15,0)</f>
        <v>0.0803609630408831</v>
      </c>
      <c r="L15" s="27" t="n">
        <f aca="false">IFERROR(D15/E15,0)</f>
        <v>11132.5</v>
      </c>
      <c r="M15" s="28" t="n">
        <f aca="false">IFERROR('District Data'!L15/'District Data'!K15-1,0)</f>
        <v>0.0274423876086136</v>
      </c>
      <c r="N15" s="28" t="n">
        <f aca="false">IFERROR(('District Data'!L15/'District Data'!J15)^(1/2)-1,0)</f>
        <v>0.0578810710974222</v>
      </c>
      <c r="O15" s="28" t="n">
        <f aca="false">IFERROR('District Data'!I15/'District Data'!H15-1,0)</f>
        <v>0.027027027027027</v>
      </c>
      <c r="P15" s="7" t="str">
        <f aca="false">IF(K15&gt;=PCC_L1,"Layer 01",IF(K15&gt;=PCC_L2,"Layer 02",IF(K15&gt;=PCC_L3,"Layer 03",IF(K15&gt;=PCC_L4,"Layer 04","Layer 05"))))</f>
        <v>Layer 05</v>
      </c>
      <c r="Q15" s="7" t="str">
        <f aca="false">IF(L15&gt;=PPO_L1,"Layer 01",IF(L15&gt;=PPO_L2,"Layer 02",IF(L15&gt;=PPO_L3,"Layer 03",IF(L15&gt;=PPO_L4,"Layer 04","Layer 05"))))</f>
        <v>Layer 03</v>
      </c>
      <c r="R15" s="29" t="n">
        <f aca="false">D15/IdealPPO-E15</f>
        <v>526.046666666667</v>
      </c>
      <c r="S15" s="29" t="n">
        <f aca="false">IdealTP*Weeks-(Weeks*J15+FirstFill)</f>
        <v>-85.175</v>
      </c>
      <c r="T15" s="29" t="n">
        <f aca="false">IF(S15&gt;0,(F15-IdealTP*Weeks*E15)/S15,1000000000000)</f>
        <v>1000000000000</v>
      </c>
      <c r="U15" s="27" t="n">
        <f aca="false">IF(E15&lt;=0,0,IF(G15&lt;=IdealTP,0,IF(L15&lt;=IdealPPO,0,INT(MIN(T15,R15)+0.000000001))))</f>
        <v>526</v>
      </c>
      <c r="V15" s="7" t="str">
        <f aca="false">IF(E15&lt;=0,"No current outlets",IF(G15&lt;=IdealTP,"TP already at or below ideal",IF(L15&lt;=IdealPPO,"PPO already at or below ideal",IF(T15&lt;=R15,"Stopped by TP reaching ideal","Stopped by PPO reaching ideal"))))</f>
        <v>Stopped by PPO reaching ideal</v>
      </c>
      <c r="W15" s="30" t="n">
        <f aca="false">F15+U15*(Weeks*J15+FirstFill)</f>
        <v>489077.55</v>
      </c>
      <c r="X15" s="30" t="n">
        <f aca="false">E15+U15</f>
        <v>564</v>
      </c>
      <c r="Y15" s="24" t="n">
        <f aca="false">IFERROR(W15/(X15*Weeks),0)</f>
        <v>16.6761303191489</v>
      </c>
      <c r="Z15" s="30" t="n">
        <f aca="false">IFERROR(D15/X15,0)</f>
        <v>750.062056737589</v>
      </c>
      <c r="AA15" s="7" t="str">
        <f aca="false">IF(AND(K15&gt;=NationalPCC,L15&gt;IdealPPO),"Q1: High PCC, High PPO",IF(K15&gt;=NationalPCC,"Q2: High PCC, Low PPO",IF(L15&gt;IdealPPO,"Q3: Low PCC, High PPO","Q4: Low PCC, Low PPO")))</f>
        <v>Q3: Low PCC, High PPO</v>
      </c>
      <c r="AB15" s="7" t="str">
        <f aca="false">IF(K15&gt;=NationalPCC,IF(L15&gt;IdealPPO,"Phase 1","Phase 2"),"Phase 3")</f>
        <v>Phase 3</v>
      </c>
      <c r="AC15" s="7" t="str">
        <f aca="false">IF(AND(G15&gt;IdealTP,L15&gt;IdealPPO),"High TP, High PPO",IF(G15&gt;IdealTP,"High TP, Low PPO",IF(L15&gt;IdealPPO,"Low TP, High PPO","Low TP, Low PPO")))</f>
        <v>High TP, High PPO</v>
      </c>
      <c r="AD15" s="31" t="n">
        <f aca="false">INDEX(WaveNumbers,MATCH(C15,WaveNames,0))</f>
        <v>2</v>
      </c>
      <c r="AE15" s="32" t="n">
        <f aca="false">IF(U15&gt;0,AD15*10000000+VALUE(RIGHT(AB15,1))*1000000+(1000000-U15)+ROW()/1000000,"")</f>
        <v>23999474.000015</v>
      </c>
      <c r="AF15" s="31" t="n">
        <f aca="false">IF(U15&gt;0,COUNTIFS($AE$5:$AE$119,"&lt;"&amp;AE15)+1,"")</f>
        <v>23</v>
      </c>
      <c r="AG15" s="7" t="str">
        <f aca="false">IF(AF15="","No",IF(AF15&lt;=TopN,"Yes","No"))</f>
        <v>Yes</v>
      </c>
      <c r="AH15" s="30" t="n">
        <f aca="false">INT('District Data'!O15*ConvRate)</f>
        <v>52</v>
      </c>
      <c r="AI15" s="27" t="n">
        <f aca="false">MIN(U15,AH15)</f>
        <v>52</v>
      </c>
      <c r="AJ15" s="7" t="str">
        <f aca="false">IF(U15=0,"No expansion",IF(AH15&lt;U15,"Supply constrained (not enough shops)","Demand constrained (enough shops)"))</f>
        <v>Supply constrained (not enough shops)</v>
      </c>
      <c r="AK15" s="30" t="n">
        <f aca="false">IF(AG15="Yes",AI15,0)</f>
        <v>52</v>
      </c>
      <c r="AL15" s="26" t="n">
        <f aca="false">IF(AG15="Yes",IF(Budget1&gt;=ShortlistFinal,AK15,AK15/ShortlistFinal*Budget1),0)</f>
        <v>30.7464892830747</v>
      </c>
      <c r="AM15" s="30" t="n">
        <f aca="false">INT(AL15)</f>
        <v>30</v>
      </c>
      <c r="AN15" s="26" t="n">
        <f aca="false">IF(AND(AG15="Yes",Budget1&lt;ShortlistFinal),AL15-AM15,-1)</f>
        <v>0.746489283074649</v>
      </c>
      <c r="AO15" s="27" t="n">
        <f aca="false">IF(AG15&lt;&gt;"Yes",0,IF(Budget1&gt;=ShortlistFinal,AK15,AM15+IF(COUNTIFS($AN$5:$AN$119,"&gt;"&amp;AN15)+COUNTIFS($AN$5:$AN$119,AN15,$AF$5:$AF$119,"&lt;"&amp;AF15)&lt;Budget1-SUM($AM$5:$AM$119),1,0)))</f>
        <v>31</v>
      </c>
      <c r="AP15" s="26" t="n">
        <f aca="false">IF(AG15="Yes",IF(Budget2&gt;=ShortlistFinal,AK15,AK15/ShortlistFinal*Budget2),0)</f>
        <v>46.119733924612</v>
      </c>
      <c r="AQ15" s="30" t="n">
        <f aca="false">INT(AP15)</f>
        <v>46</v>
      </c>
      <c r="AR15" s="26" t="n">
        <f aca="false">IF(AND(AG15="Yes",Budget2&lt;ShortlistFinal),AP15-AQ15,-1)</f>
        <v>0.119733924611971</v>
      </c>
      <c r="AS15" s="27" t="n">
        <f aca="false">IF(AG15&lt;&gt;"Yes",0,IF(Budget2&gt;=ShortlistFinal,AK15,AQ15+IF(COUNTIFS($AR$5:$AR$119,"&gt;"&amp;AR15)+COUNTIFS($AR$5:$AR$119,AR15,$AF$5:$AF$119,"&lt;"&amp;AF15)&lt;Budget2-SUM($AQ$5:$AQ$119),1,0)))</f>
        <v>46</v>
      </c>
      <c r="AT15" s="26" t="n">
        <f aca="false">AK15*Share2025</f>
        <v>18.3529411764706</v>
      </c>
      <c r="AU15" s="26" t="n">
        <f aca="false">AK15*Share2026</f>
        <v>18.3529411764706</v>
      </c>
      <c r="AV15" s="26" t="n">
        <f aca="false">AK15*Share2027</f>
        <v>15.2941176470588</v>
      </c>
      <c r="AW15" s="31" t="n">
        <f aca="false">INT(AT15)</f>
        <v>18</v>
      </c>
      <c r="AX15" s="31" t="n">
        <f aca="false">INT(AU15)</f>
        <v>18</v>
      </c>
      <c r="AY15" s="31" t="n">
        <f aca="false">INT(AV15)</f>
        <v>15</v>
      </c>
      <c r="AZ15" s="26" t="n">
        <f aca="false">AT15-AW15</f>
        <v>0.352941176470594</v>
      </c>
      <c r="BA15" s="26" t="n">
        <f aca="false">AU15-AX15</f>
        <v>0.352941176470594</v>
      </c>
      <c r="BB15" s="26" t="n">
        <f aca="false">AV15-AY15</f>
        <v>0.294117647058821</v>
      </c>
      <c r="BC15" s="31" t="n">
        <f aca="false">AK15-AW15-AX15-AY15</f>
        <v>1</v>
      </c>
      <c r="BD15" s="27" t="n">
        <f aca="false">AW15+IF((BA15&gt;AZ15)+(BB15&gt;AZ15)&lt;BC15,1,0)</f>
        <v>19</v>
      </c>
      <c r="BE15" s="27" t="n">
        <f aca="false">AX15+IF((AZ15&gt;BA15)+(BB15&gt;BA15)+(AZ15=BA15)&lt;BC15,1,0)</f>
        <v>18</v>
      </c>
      <c r="BF15" s="27" t="n">
        <f aca="false">AY15+IF((AZ15&gt;BB15)+(BA15&gt;BB15)+(AZ15=BB15)+(BA15=BB15)&lt;BC15,1,0)</f>
        <v>15</v>
      </c>
    </row>
    <row r="16" customFormat="false" ht="15" hidden="false" customHeight="false" outlineLevel="0" collapsed="false">
      <c r="A16" s="22" t="str">
        <f aca="false">'District Data'!A16</f>
        <v>Buner</v>
      </c>
      <c r="B16" s="22" t="str">
        <f aca="false">'District Data'!C16</f>
        <v>Peshawar Region</v>
      </c>
      <c r="C16" s="22" t="str">
        <f aca="false">'District Data'!D16</f>
        <v>Neighbouring</v>
      </c>
      <c r="D16" s="23" t="n">
        <f aca="false">ROUND('District Data'!E16*'District Data'!F16,0)</f>
        <v>83092</v>
      </c>
      <c r="E16" s="23" t="n">
        <f aca="false">'District Data'!I16</f>
        <v>7</v>
      </c>
      <c r="F16" s="23" t="n">
        <f aca="false">'District Data'!L16</f>
        <v>4501.2</v>
      </c>
      <c r="G16" s="24" t="n">
        <f aca="false">IFERROR(F16/(E16*Weeks),0)</f>
        <v>12.3659340659341</v>
      </c>
      <c r="H16" s="25" t="n">
        <f aca="false">IFERROR('District Data'!N16/('District Data'!M16*Weeks),0)</f>
        <v>0</v>
      </c>
      <c r="I16" s="24" t="n">
        <f aca="false">IFERROR(SUMIFS('District Data'!$N$5:$N$119,'District Data'!$C$5:$C$119,B16)/(SUMIFS('District Data'!$M$5:$M$119,'District Data'!$C$5:$C$119,B16)*Weeks),0)</f>
        <v>7.60397053195561</v>
      </c>
      <c r="J16" s="24" t="n">
        <f aca="false">IF(TPBasis="NI TP",IF(H16&gt;0,H16,I16),G16)</f>
        <v>7.60397053195561</v>
      </c>
      <c r="K16" s="26" t="n">
        <f aca="false">IFERROR(F16/D16,0)</f>
        <v>0.0541712800269581</v>
      </c>
      <c r="L16" s="27" t="n">
        <f aca="false">IFERROR(D16/E16,0)</f>
        <v>11870.2857142857</v>
      </c>
      <c r="M16" s="28" t="n">
        <f aca="false">IFERROR('District Data'!L16/'District Data'!K16-1,0)</f>
        <v>-0.00285771250083089</v>
      </c>
      <c r="N16" s="28" t="n">
        <f aca="false">IFERROR(('District Data'!L16/'District Data'!J16)^(1/2)-1,0)</f>
        <v>-0.065164398499503</v>
      </c>
      <c r="O16" s="28" t="n">
        <f aca="false">IFERROR('District Data'!I16/'District Data'!H16-1,0)</f>
        <v>0</v>
      </c>
      <c r="P16" s="7" t="str">
        <f aca="false">IF(K16&gt;=PCC_L1,"Layer 01",IF(K16&gt;=PCC_L2,"Layer 02",IF(K16&gt;=PCC_L3,"Layer 03",IF(K16&gt;=PCC_L4,"Layer 04","Layer 05"))))</f>
        <v>Layer 05</v>
      </c>
      <c r="Q16" s="7" t="str">
        <f aca="false">IF(L16&gt;=PPO_L1,"Layer 01",IF(L16&gt;=PPO_L2,"Layer 02",IF(L16&gt;=PPO_L3,"Layer 03",IF(L16&gt;=PPO_L4,"Layer 04","Layer 05"))))</f>
        <v>Layer 03</v>
      </c>
      <c r="R16" s="29" t="n">
        <f aca="false">D16/IdealPPO-E16</f>
        <v>103.789333333333</v>
      </c>
      <c r="S16" s="29" t="n">
        <f aca="false">IdealTP*Weeks-(Weeks*J16+FirstFill)</f>
        <v>304.593532338309</v>
      </c>
      <c r="T16" s="29" t="n">
        <f aca="false">IF(S16&gt;0,(F16-IdealTP*Weeks*E16)/S16,1000000000000)</f>
        <v>-3.14780157227722</v>
      </c>
      <c r="U16" s="27" t="n">
        <f aca="false">IF(E16&lt;=0,0,IF(G16&lt;=IdealTP,0,IF(L16&lt;=IdealPPO,0,INT(MIN(T16,R16)+0.000000001))))</f>
        <v>0</v>
      </c>
      <c r="V16" s="7" t="str">
        <f aca="false">IF(E16&lt;=0,"No current outlets",IF(G16&lt;=IdealTP,"TP already at or below ideal",IF(L16&lt;=IdealPPO,"PPO already at or below ideal",IF(T16&lt;=R16,"Stopped by TP reaching ideal","Stopped by PPO reaching ideal"))))</f>
        <v>TP already at or below ideal</v>
      </c>
      <c r="W16" s="30" t="n">
        <f aca="false">F16+U16*(Weeks*J16+FirstFill)</f>
        <v>4501.2</v>
      </c>
      <c r="X16" s="30" t="n">
        <f aca="false">E16+U16</f>
        <v>7</v>
      </c>
      <c r="Y16" s="24" t="n">
        <f aca="false">IFERROR(W16/(X16*Weeks),0)</f>
        <v>12.3659340659341</v>
      </c>
      <c r="Z16" s="30" t="n">
        <f aca="false">IFERROR(D16/X16,0)</f>
        <v>11870.2857142857</v>
      </c>
      <c r="AA16" s="7" t="str">
        <f aca="false">IF(AND(K16&gt;=NationalPCC,L16&gt;IdealPPO),"Q1: High PCC, High PPO",IF(K16&gt;=NationalPCC,"Q2: High PCC, Low PPO",IF(L16&gt;IdealPPO,"Q3: Low PCC, High PPO","Q4: Low PCC, Low PPO")))</f>
        <v>Q3: Low PCC, High PPO</v>
      </c>
      <c r="AB16" s="7" t="str">
        <f aca="false">IF(K16&gt;=NationalPCC,IF(L16&gt;IdealPPO,"Phase 1","Phase 2"),"Phase 3")</f>
        <v>Phase 3</v>
      </c>
      <c r="AC16" s="7" t="str">
        <f aca="false">IF(AND(G16&gt;IdealTP,L16&gt;IdealPPO),"High TP, High PPO",IF(G16&gt;IdealTP,"High TP, Low PPO",IF(L16&gt;IdealPPO,"Low TP, High PPO","Low TP, Low PPO")))</f>
        <v>Low TP, High PPO</v>
      </c>
      <c r="AD16" s="31" t="n">
        <f aca="false">INDEX(WaveNumbers,MATCH(C16,WaveNames,0))</f>
        <v>2</v>
      </c>
      <c r="AE16" s="32" t="str">
        <f aca="false">IF(U16&gt;0,AD16*10000000+VALUE(RIGHT(AB16,1))*1000000+(1000000-U16)+ROW()/1000000,"")</f>
        <v/>
      </c>
      <c r="AF16" s="31" t="str">
        <f aca="false">IF(U16&gt;0,COUNTIFS($AE$5:$AE$119,"&lt;"&amp;AE16)+1,"")</f>
        <v/>
      </c>
      <c r="AG16" s="7" t="str">
        <f aca="false">IF(AF16="","No",IF(AF16&lt;=TopN,"Yes","No"))</f>
        <v>No</v>
      </c>
      <c r="AH16" s="30" t="n">
        <f aca="false">INT('District Data'!O16*ConvRate)</f>
        <v>4</v>
      </c>
      <c r="AI16" s="27" t="n">
        <f aca="false">MIN(U16,AH16)</f>
        <v>0</v>
      </c>
      <c r="AJ16" s="7" t="str">
        <f aca="false">IF(U16=0,"No expansion",IF(AH16&lt;U16,"Supply constrained (not enough shops)","Demand constrained (enough shops)"))</f>
        <v>No expansion</v>
      </c>
      <c r="AK16" s="30" t="n">
        <f aca="false">IF(AG16="Yes",AI16,0)</f>
        <v>0</v>
      </c>
      <c r="AL16" s="26" t="n">
        <f aca="false">IF(AG16="Yes",IF(Budget1&gt;=ShortlistFinal,AK16,AK16/ShortlistFinal*Budget1),0)</f>
        <v>0</v>
      </c>
      <c r="AM16" s="30" t="n">
        <f aca="false">INT(AL16)</f>
        <v>0</v>
      </c>
      <c r="AN16" s="26" t="n">
        <f aca="false">IF(AND(AG16="Yes",Budget1&lt;ShortlistFinal),AL16-AM16,-1)</f>
        <v>-1</v>
      </c>
      <c r="AO16" s="27" t="n">
        <f aca="false">IF(AG16&lt;&gt;"Yes",0,IF(Budget1&gt;=ShortlistFinal,AK16,AM16+IF(COUNTIFS($AN$5:$AN$119,"&gt;"&amp;AN16)+COUNTIFS($AN$5:$AN$119,AN16,$AF$5:$AF$119,"&lt;"&amp;AF16)&lt;Budget1-SUM($AM$5:$AM$119),1,0)))</f>
        <v>0</v>
      </c>
      <c r="AP16" s="26" t="n">
        <f aca="false">IF(AG16="Yes",IF(Budget2&gt;=ShortlistFinal,AK16,AK16/ShortlistFinal*Budget2),0)</f>
        <v>0</v>
      </c>
      <c r="AQ16" s="30" t="n">
        <f aca="false">INT(AP16)</f>
        <v>0</v>
      </c>
      <c r="AR16" s="26" t="n">
        <f aca="false">IF(AND(AG16="Yes",Budget2&lt;ShortlistFinal),AP16-AQ16,-1)</f>
        <v>-1</v>
      </c>
      <c r="AS16" s="27" t="n">
        <f aca="false">IF(AG16&lt;&gt;"Yes",0,IF(Budget2&gt;=ShortlistFinal,AK16,AQ16+IF(COUNTIFS($AR$5:$AR$119,"&gt;"&amp;AR16)+COUNTIFS($AR$5:$AR$119,AR16,$AF$5:$AF$119,"&lt;"&amp;AF16)&lt;Budget2-SUM($AQ$5:$AQ$119),1,0)))</f>
        <v>0</v>
      </c>
      <c r="AT16" s="26" t="n">
        <f aca="false">AK16*Share2025</f>
        <v>0</v>
      </c>
      <c r="AU16" s="26" t="n">
        <f aca="false">AK16*Share2026</f>
        <v>0</v>
      </c>
      <c r="AV16" s="26" t="n">
        <f aca="false">AK16*Share2027</f>
        <v>0</v>
      </c>
      <c r="AW16" s="31" t="n">
        <f aca="false">INT(AT16)</f>
        <v>0</v>
      </c>
      <c r="AX16" s="31" t="n">
        <f aca="false">INT(AU16)</f>
        <v>0</v>
      </c>
      <c r="AY16" s="31" t="n">
        <f aca="false">INT(AV16)</f>
        <v>0</v>
      </c>
      <c r="AZ16" s="26" t="n">
        <f aca="false">AT16-AW16</f>
        <v>0</v>
      </c>
      <c r="BA16" s="26" t="n">
        <f aca="false">AU16-AX16</f>
        <v>0</v>
      </c>
      <c r="BB16" s="26" t="n">
        <f aca="false">AV16-AY16</f>
        <v>0</v>
      </c>
      <c r="BC16" s="31" t="n">
        <f aca="false">AK16-AW16-AX16-AY16</f>
        <v>0</v>
      </c>
      <c r="BD16" s="27" t="n">
        <f aca="false">AW16+IF((BA16&gt;AZ16)+(BB16&gt;AZ16)&lt;BC16,1,0)</f>
        <v>0</v>
      </c>
      <c r="BE16" s="27" t="n">
        <f aca="false">AX16+IF((AZ16&gt;BA16)+(BB16&gt;BA16)+(AZ16=BA16)&lt;BC16,1,0)</f>
        <v>0</v>
      </c>
      <c r="BF16" s="27" t="n">
        <f aca="false">AY16+IF((AZ16&gt;BB16)+(BA16&gt;BB16)+(AZ16=BB16)+(BA16=BB16)&lt;BC16,1,0)</f>
        <v>0</v>
      </c>
    </row>
    <row r="17" customFormat="false" ht="15" hidden="false" customHeight="false" outlineLevel="0" collapsed="false">
      <c r="A17" s="22" t="str">
        <f aca="false">'District Data'!A17</f>
        <v>Chagai</v>
      </c>
      <c r="B17" s="22" t="str">
        <f aca="false">'District Data'!C17</f>
        <v>Karachi Region</v>
      </c>
      <c r="C17" s="22" t="str">
        <f aca="false">'District Data'!D17</f>
        <v>Rest</v>
      </c>
      <c r="D17" s="23" t="n">
        <f aca="false">ROUND('District Data'!E17*'District Data'!F17,0)</f>
        <v>46267</v>
      </c>
      <c r="E17" s="23" t="n">
        <f aca="false">'District Data'!I17</f>
        <v>0</v>
      </c>
      <c r="F17" s="23" t="n">
        <f aca="false">'District Data'!L17</f>
        <v>0</v>
      </c>
      <c r="G17" s="24" t="n">
        <f aca="false">IFERROR(F17/(E17*Weeks),0)</f>
        <v>0</v>
      </c>
      <c r="H17" s="25" t="n">
        <f aca="false">IFERROR('District Data'!N17/('District Data'!M17*Weeks),0)</f>
        <v>0</v>
      </c>
      <c r="I17" s="24" t="n">
        <f aca="false">IFERROR(SUMIFS('District Data'!$N$5:$N$119,'District Data'!$C$5:$C$119,B17)/(SUMIFS('District Data'!$M$5:$M$119,'District Data'!$C$5:$C$119,B17)*Weeks),0)</f>
        <v>12.952446872194</v>
      </c>
      <c r="J17" s="24" t="n">
        <f aca="false">IF(TPBasis="NI TP",IF(H17&gt;0,H17,I17),G17)</f>
        <v>12.952446872194</v>
      </c>
      <c r="K17" s="26" t="n">
        <f aca="false">IFERROR(F17/D17,0)</f>
        <v>0</v>
      </c>
      <c r="L17" s="27" t="n">
        <f aca="false">IFERROR(D17/E17,0)</f>
        <v>0</v>
      </c>
      <c r="M17" s="28" t="n">
        <f aca="false">IFERROR('District Data'!L17/'District Data'!K17-1,0)</f>
        <v>0</v>
      </c>
      <c r="N17" s="28" t="n">
        <f aca="false">IFERROR(('District Data'!L17/'District Data'!J17)^(1/2)-1,0)</f>
        <v>0</v>
      </c>
      <c r="O17" s="28" t="n">
        <f aca="false">IFERROR('District Data'!I17/'District Data'!H17-1,0)</f>
        <v>0</v>
      </c>
      <c r="P17" s="7" t="str">
        <f aca="false">IF(K17&gt;=PCC_L1,"Layer 01",IF(K17&gt;=PCC_L2,"Layer 02",IF(K17&gt;=PCC_L3,"Layer 03",IF(K17&gt;=PCC_L4,"Layer 04","Layer 05"))))</f>
        <v>Layer 05</v>
      </c>
      <c r="Q17" s="7" t="str">
        <f aca="false">IF(L17&gt;=PPO_L1,"Layer 01",IF(L17&gt;=PPO_L2,"Layer 02",IF(L17&gt;=PPO_L3,"Layer 03",IF(L17&gt;=PPO_L4,"Layer 04","Layer 05"))))</f>
        <v>Layer 05</v>
      </c>
      <c r="R17" s="29" t="n">
        <f aca="false">D17/IdealPPO-E17</f>
        <v>61.6893333333333</v>
      </c>
      <c r="S17" s="29" t="n">
        <f aca="false">IdealTP*Weeks-(Weeks*J17+FirstFill)</f>
        <v>26.4727626459144</v>
      </c>
      <c r="T17" s="29" t="n">
        <f aca="false">IF(S17&gt;0,(F17-IdealTP*Weeks*E17)/S17,1000000000000)</f>
        <v>0</v>
      </c>
      <c r="U17" s="27" t="n">
        <f aca="false">IF(E17&lt;=0,0,IF(G17&lt;=IdealTP,0,IF(L17&lt;=IdealPPO,0,INT(MIN(T17,R17)+0.000000001))))</f>
        <v>0</v>
      </c>
      <c r="V17" s="7" t="str">
        <f aca="false">IF(E17&lt;=0,"No current outlets",IF(G17&lt;=IdealTP,"TP already at or below ideal",IF(L17&lt;=IdealPPO,"PPO already at or below ideal",IF(T17&lt;=R17,"Stopped by TP reaching ideal","Stopped by PPO reaching ideal"))))</f>
        <v>No current outlets</v>
      </c>
      <c r="W17" s="30" t="n">
        <f aca="false">F17+U17*(Weeks*J17+FirstFill)</f>
        <v>0</v>
      </c>
      <c r="X17" s="30" t="n">
        <f aca="false">E17+U17</f>
        <v>0</v>
      </c>
      <c r="Y17" s="24" t="n">
        <f aca="false">IFERROR(W17/(X17*Weeks),0)</f>
        <v>0</v>
      </c>
      <c r="Z17" s="30" t="n">
        <f aca="false">IFERROR(D17/X17,0)</f>
        <v>0</v>
      </c>
      <c r="AA17" s="7" t="str">
        <f aca="false">IF(AND(K17&gt;=NationalPCC,L17&gt;IdealPPO),"Q1: High PCC, High PPO",IF(K17&gt;=NationalPCC,"Q2: High PCC, Low PPO",IF(L17&gt;IdealPPO,"Q3: Low PCC, High PPO","Q4: Low PCC, Low PPO")))</f>
        <v>Q4: Low PCC, Low PPO</v>
      </c>
      <c r="AB17" s="7" t="str">
        <f aca="false">IF(K17&gt;=NationalPCC,IF(L17&gt;IdealPPO,"Phase 1","Phase 2"),"Phase 3")</f>
        <v>Phase 3</v>
      </c>
      <c r="AC17" s="7" t="str">
        <f aca="false">IF(AND(G17&gt;IdealTP,L17&gt;IdealPPO),"High TP, High PPO",IF(G17&gt;IdealTP,"High TP, Low PPO",IF(L17&gt;IdealPPO,"Low TP, High PPO","Low TP, Low PPO")))</f>
        <v>Low TP, Low PPO</v>
      </c>
      <c r="AD17" s="31" t="n">
        <f aca="false">INDEX(WaveNumbers,MATCH(C17,WaveNames,0))</f>
        <v>4</v>
      </c>
      <c r="AE17" s="32" t="str">
        <f aca="false">IF(U17&gt;0,AD17*10000000+VALUE(RIGHT(AB17,1))*1000000+(1000000-U17)+ROW()/1000000,"")</f>
        <v/>
      </c>
      <c r="AF17" s="31" t="str">
        <f aca="false">IF(U17&gt;0,COUNTIFS($AE$5:$AE$119,"&lt;"&amp;AE17)+1,"")</f>
        <v/>
      </c>
      <c r="AG17" s="7" t="str">
        <f aca="false">IF(AF17="","No",IF(AF17&lt;=TopN,"Yes","No"))</f>
        <v>No</v>
      </c>
      <c r="AH17" s="30" t="n">
        <f aca="false">INT('District Data'!O17*ConvRate)</f>
        <v>4</v>
      </c>
      <c r="AI17" s="27" t="n">
        <f aca="false">MIN(U17,AH17)</f>
        <v>0</v>
      </c>
      <c r="AJ17" s="7" t="str">
        <f aca="false">IF(U17=0,"No expansion",IF(AH17&lt;U17,"Supply constrained (not enough shops)","Demand constrained (enough shops)"))</f>
        <v>No expansion</v>
      </c>
      <c r="AK17" s="30" t="n">
        <f aca="false">IF(AG17="Yes",AI17,0)</f>
        <v>0</v>
      </c>
      <c r="AL17" s="26" t="n">
        <f aca="false">IF(AG17="Yes",IF(Budget1&gt;=ShortlistFinal,AK17,AK17/ShortlistFinal*Budget1),0)</f>
        <v>0</v>
      </c>
      <c r="AM17" s="30" t="n">
        <f aca="false">INT(AL17)</f>
        <v>0</v>
      </c>
      <c r="AN17" s="26" t="n">
        <f aca="false">IF(AND(AG17="Yes",Budget1&lt;ShortlistFinal),AL17-AM17,-1)</f>
        <v>-1</v>
      </c>
      <c r="AO17" s="27" t="n">
        <f aca="false">IF(AG17&lt;&gt;"Yes",0,IF(Budget1&gt;=ShortlistFinal,AK17,AM17+IF(COUNTIFS($AN$5:$AN$119,"&gt;"&amp;AN17)+COUNTIFS($AN$5:$AN$119,AN17,$AF$5:$AF$119,"&lt;"&amp;AF17)&lt;Budget1-SUM($AM$5:$AM$119),1,0)))</f>
        <v>0</v>
      </c>
      <c r="AP17" s="26" t="n">
        <f aca="false">IF(AG17="Yes",IF(Budget2&gt;=ShortlistFinal,AK17,AK17/ShortlistFinal*Budget2),0)</f>
        <v>0</v>
      </c>
      <c r="AQ17" s="30" t="n">
        <f aca="false">INT(AP17)</f>
        <v>0</v>
      </c>
      <c r="AR17" s="26" t="n">
        <f aca="false">IF(AND(AG17="Yes",Budget2&lt;ShortlistFinal),AP17-AQ17,-1)</f>
        <v>-1</v>
      </c>
      <c r="AS17" s="27" t="n">
        <f aca="false">IF(AG17&lt;&gt;"Yes",0,IF(Budget2&gt;=ShortlistFinal,AK17,AQ17+IF(COUNTIFS($AR$5:$AR$119,"&gt;"&amp;AR17)+COUNTIFS($AR$5:$AR$119,AR17,$AF$5:$AF$119,"&lt;"&amp;AF17)&lt;Budget2-SUM($AQ$5:$AQ$119),1,0)))</f>
        <v>0</v>
      </c>
      <c r="AT17" s="26" t="n">
        <f aca="false">AK17*Share2025</f>
        <v>0</v>
      </c>
      <c r="AU17" s="26" t="n">
        <f aca="false">AK17*Share2026</f>
        <v>0</v>
      </c>
      <c r="AV17" s="26" t="n">
        <f aca="false">AK17*Share2027</f>
        <v>0</v>
      </c>
      <c r="AW17" s="31" t="n">
        <f aca="false">INT(AT17)</f>
        <v>0</v>
      </c>
      <c r="AX17" s="31" t="n">
        <f aca="false">INT(AU17)</f>
        <v>0</v>
      </c>
      <c r="AY17" s="31" t="n">
        <f aca="false">INT(AV17)</f>
        <v>0</v>
      </c>
      <c r="AZ17" s="26" t="n">
        <f aca="false">AT17-AW17</f>
        <v>0</v>
      </c>
      <c r="BA17" s="26" t="n">
        <f aca="false">AU17-AX17</f>
        <v>0</v>
      </c>
      <c r="BB17" s="26" t="n">
        <f aca="false">AV17-AY17</f>
        <v>0</v>
      </c>
      <c r="BC17" s="31" t="n">
        <f aca="false">AK17-AW17-AX17-AY17</f>
        <v>0</v>
      </c>
      <c r="BD17" s="27" t="n">
        <f aca="false">AW17+IF((BA17&gt;AZ17)+(BB17&gt;AZ17)&lt;BC17,1,0)</f>
        <v>0</v>
      </c>
      <c r="BE17" s="27" t="n">
        <f aca="false">AX17+IF((AZ17&gt;BA17)+(BB17&gt;BA17)+(AZ17=BA17)&lt;BC17,1,0)</f>
        <v>0</v>
      </c>
      <c r="BF17" s="27" t="n">
        <f aca="false">AY17+IF((AZ17&gt;BB17)+(BA17&gt;BB17)+(AZ17=BB17)+(BA17=BB17)&lt;BC17,1,0)</f>
        <v>0</v>
      </c>
    </row>
    <row r="18" customFormat="false" ht="15" hidden="false" customHeight="false" outlineLevel="0" collapsed="false">
      <c r="A18" s="22" t="str">
        <f aca="false">'District Data'!A18</f>
        <v>Chakwal</v>
      </c>
      <c r="B18" s="22" t="str">
        <f aca="false">'District Data'!C18</f>
        <v>Islamabad Region</v>
      </c>
      <c r="C18" s="22" t="str">
        <f aca="false">'District Data'!D18</f>
        <v>Neighbouring</v>
      </c>
      <c r="D18" s="23" t="n">
        <f aca="false">ROUND('District Data'!E18*'District Data'!F18,0)</f>
        <v>510380</v>
      </c>
      <c r="E18" s="23" t="n">
        <f aca="false">'District Data'!I18</f>
        <v>107</v>
      </c>
      <c r="F18" s="23" t="n">
        <f aca="false">'District Data'!L18</f>
        <v>103885.7</v>
      </c>
      <c r="G18" s="24" t="n">
        <f aca="false">IFERROR(F18/(E18*Weeks),0)</f>
        <v>18.6710460100647</v>
      </c>
      <c r="H18" s="25" t="n">
        <f aca="false">IFERROR('District Data'!N18/('District Data'!M18*Weeks),0)</f>
        <v>12.4151282051282</v>
      </c>
      <c r="I18" s="24" t="n">
        <f aca="false">IFERROR(SUMIFS('District Data'!$N$5:$N$119,'District Data'!$C$5:$C$119,B18)/(SUMIFS('District Data'!$M$5:$M$119,'District Data'!$C$5:$C$119,B18)*Weeks),0)</f>
        <v>8.40311578665237</v>
      </c>
      <c r="J18" s="24" t="n">
        <f aca="false">IF(TPBasis="NI TP",IF(H18&gt;0,H18,I18),G18)</f>
        <v>12.4151282051282</v>
      </c>
      <c r="K18" s="26" t="n">
        <f aca="false">IFERROR(F18/D18,0)</f>
        <v>0.203545789411811</v>
      </c>
      <c r="L18" s="27" t="n">
        <f aca="false">IFERROR(D18/E18,0)</f>
        <v>4769.90654205608</v>
      </c>
      <c r="M18" s="28" t="n">
        <f aca="false">IFERROR('District Data'!L18/'District Data'!K18-1,0)</f>
        <v>0.0394526063434348</v>
      </c>
      <c r="N18" s="28" t="n">
        <f aca="false">IFERROR(('District Data'!L18/'District Data'!J18)^(1/2)-1,0)</f>
        <v>0.0217420068781087</v>
      </c>
      <c r="O18" s="28" t="n">
        <f aca="false">IFERROR('District Data'!I18/'District Data'!H18-1,0)</f>
        <v>0.114583333333333</v>
      </c>
      <c r="P18" s="7" t="str">
        <f aca="false">IF(K18&gt;=PCC_L1,"Layer 01",IF(K18&gt;=PCC_L2,"Layer 02",IF(K18&gt;=PCC_L3,"Layer 03",IF(K18&gt;=PCC_L4,"Layer 04","Layer 05"))))</f>
        <v>Layer 04</v>
      </c>
      <c r="Q18" s="7" t="str">
        <f aca="false">IF(L18&gt;=PPO_L1,"Layer 01",IF(L18&gt;=PPO_L2,"Layer 02",IF(L18&gt;=PPO_L3,"Layer 03",IF(L18&gt;=PPO_L4,"Layer 04","Layer 05"))))</f>
        <v>Layer 03</v>
      </c>
      <c r="R18" s="29" t="n">
        <f aca="false">D18/IdealPPO-E18</f>
        <v>573.506666666667</v>
      </c>
      <c r="S18" s="29" t="n">
        <f aca="false">IdealTP*Weeks-(Weeks*J18+FirstFill)</f>
        <v>54.4133333333334</v>
      </c>
      <c r="T18" s="29" t="n">
        <f aca="false">IF(S18&gt;0,(F18-IdealTP*Weeks*E18)/S18,1000000000000)</f>
        <v>375.380421465327</v>
      </c>
      <c r="U18" s="27" t="n">
        <f aca="false">IF(E18&lt;=0,0,IF(G18&lt;=IdealTP,0,IF(L18&lt;=IdealPPO,0,INT(MIN(T18,R18)+0.000000001))))</f>
        <v>375</v>
      </c>
      <c r="V18" s="7" t="str">
        <f aca="false">IF(E18&lt;=0,"No current outlets",IF(G18&lt;=IdealTP,"TP already at or below ideal",IF(L18&lt;=IdealPPO,"PPO already at or below ideal",IF(T18&lt;=R18,"Stopped by TP reaching ideal","Stopped by PPO reaching ideal"))))</f>
        <v>Stopped by TP reaching ideal</v>
      </c>
      <c r="W18" s="30" t="n">
        <f aca="false">F18+U18*(Weeks*J18+FirstFill)</f>
        <v>375980.7</v>
      </c>
      <c r="X18" s="30" t="n">
        <f aca="false">E18+U18</f>
        <v>482</v>
      </c>
      <c r="Y18" s="24" t="n">
        <f aca="false">IFERROR(W18/(X18*Weeks),0)</f>
        <v>15.0008258857325</v>
      </c>
      <c r="Z18" s="30" t="n">
        <f aca="false">IFERROR(D18/X18,0)</f>
        <v>1058.87966804979</v>
      </c>
      <c r="AA18" s="7" t="str">
        <f aca="false">IF(AND(K18&gt;=NationalPCC,L18&gt;IdealPPO),"Q1: High PCC, High PPO",IF(K18&gt;=NationalPCC,"Q2: High PCC, Low PPO",IF(L18&gt;IdealPPO,"Q3: Low PCC, High PPO","Q4: Low PCC, Low PPO")))</f>
        <v>Q3: Low PCC, High PPO</v>
      </c>
      <c r="AB18" s="7" t="str">
        <f aca="false">IF(K18&gt;=NationalPCC,IF(L18&gt;IdealPPO,"Phase 1","Phase 2"),"Phase 3")</f>
        <v>Phase 3</v>
      </c>
      <c r="AC18" s="7" t="str">
        <f aca="false">IF(AND(G18&gt;IdealTP,L18&gt;IdealPPO),"High TP, High PPO",IF(G18&gt;IdealTP,"High TP, Low PPO",IF(L18&gt;IdealPPO,"Low TP, High PPO","Low TP, Low PPO")))</f>
        <v>High TP, High PPO</v>
      </c>
      <c r="AD18" s="31" t="n">
        <f aca="false">INDEX(WaveNumbers,MATCH(C18,WaveNames,0))</f>
        <v>2</v>
      </c>
      <c r="AE18" s="32" t="n">
        <f aca="false">IF(U18&gt;0,AD18*10000000+VALUE(RIGHT(AB18,1))*1000000+(1000000-U18)+ROW()/1000000,"")</f>
        <v>23999625.000018</v>
      </c>
      <c r="AF18" s="31" t="n">
        <f aca="false">IF(U18&gt;0,COUNTIFS($AE$5:$AE$119,"&lt;"&amp;AE18)+1,"")</f>
        <v>24</v>
      </c>
      <c r="AG18" s="7" t="str">
        <f aca="false">IF(AF18="","No",IF(AF18&lt;=TopN,"Yes","No"))</f>
        <v>Yes</v>
      </c>
      <c r="AH18" s="30" t="n">
        <f aca="false">INT('District Data'!O18*ConvRate)</f>
        <v>77</v>
      </c>
      <c r="AI18" s="27" t="n">
        <f aca="false">MIN(U18,AH18)</f>
        <v>77</v>
      </c>
      <c r="AJ18" s="7" t="str">
        <f aca="false">IF(U18=0,"No expansion",IF(AH18&lt;U18,"Supply constrained (not enough shops)","Demand constrained (enough shops)"))</f>
        <v>Supply constrained (not enough shops)</v>
      </c>
      <c r="AK18" s="30" t="n">
        <f aca="false">IF(AG18="Yes",AI18,0)</f>
        <v>77</v>
      </c>
      <c r="AL18" s="26" t="n">
        <f aca="false">IF(AG18="Yes",IF(Budget1&gt;=ShortlistFinal,AK18,AK18/ShortlistFinal*Budget1),0)</f>
        <v>45.5284552845529</v>
      </c>
      <c r="AM18" s="30" t="n">
        <f aca="false">INT(AL18)</f>
        <v>45</v>
      </c>
      <c r="AN18" s="26" t="n">
        <f aca="false">IF(AND(AG18="Yes",Budget1&lt;ShortlistFinal),AL18-AM18,-1)</f>
        <v>0.528455284552848</v>
      </c>
      <c r="AO18" s="27" t="n">
        <f aca="false">IF(AG18&lt;&gt;"Yes",0,IF(Budget1&gt;=ShortlistFinal,AK18,AM18+IF(COUNTIFS($AN$5:$AN$119,"&gt;"&amp;AN18)+COUNTIFS($AN$5:$AN$119,AN18,$AF$5:$AF$119,"&lt;"&amp;AF18)&lt;Budget1-SUM($AM$5:$AM$119),1,0)))</f>
        <v>45</v>
      </c>
      <c r="AP18" s="26" t="n">
        <f aca="false">IF(AG18="Yes",IF(Budget2&gt;=ShortlistFinal,AK18,AK18/ShortlistFinal*Budget2),0)</f>
        <v>68.2926829268293</v>
      </c>
      <c r="AQ18" s="30" t="n">
        <f aca="false">INT(AP18)</f>
        <v>68</v>
      </c>
      <c r="AR18" s="26" t="n">
        <f aca="false">IF(AND(AG18="Yes",Budget2&lt;ShortlistFinal),AP18-AQ18,-1)</f>
        <v>0.292682926829272</v>
      </c>
      <c r="AS18" s="27" t="n">
        <f aca="false">IF(AG18&lt;&gt;"Yes",0,IF(Budget2&gt;=ShortlistFinal,AK18,AQ18+IF(COUNTIFS($AR$5:$AR$119,"&gt;"&amp;AR18)+COUNTIFS($AR$5:$AR$119,AR18,$AF$5:$AF$119,"&lt;"&amp;AF18)&lt;Budget2-SUM($AQ$5:$AQ$119),1,0)))</f>
        <v>68</v>
      </c>
      <c r="AT18" s="26" t="n">
        <f aca="false">AK18*Share2025</f>
        <v>27.1764705882353</v>
      </c>
      <c r="AU18" s="26" t="n">
        <f aca="false">AK18*Share2026</f>
        <v>27.1764705882353</v>
      </c>
      <c r="AV18" s="26" t="n">
        <f aca="false">AK18*Share2027</f>
        <v>22.6470588235294</v>
      </c>
      <c r="AW18" s="31" t="n">
        <f aca="false">INT(AT18)</f>
        <v>27</v>
      </c>
      <c r="AX18" s="31" t="n">
        <f aca="false">INT(AU18)</f>
        <v>27</v>
      </c>
      <c r="AY18" s="31" t="n">
        <f aca="false">INT(AV18)</f>
        <v>22</v>
      </c>
      <c r="AZ18" s="26" t="n">
        <f aca="false">AT18-AW18</f>
        <v>0.176470588235301</v>
      </c>
      <c r="BA18" s="26" t="n">
        <f aca="false">AU18-AX18</f>
        <v>0.176470588235301</v>
      </c>
      <c r="BB18" s="26" t="n">
        <f aca="false">AV18-AY18</f>
        <v>0.64705882352941</v>
      </c>
      <c r="BC18" s="31" t="n">
        <f aca="false">AK18-AW18-AX18-AY18</f>
        <v>1</v>
      </c>
      <c r="BD18" s="27" t="n">
        <f aca="false">AW18+IF((BA18&gt;AZ18)+(BB18&gt;AZ18)&lt;BC18,1,0)</f>
        <v>27</v>
      </c>
      <c r="BE18" s="27" t="n">
        <f aca="false">AX18+IF((AZ18&gt;BA18)+(BB18&gt;BA18)+(AZ18=BA18)&lt;BC18,1,0)</f>
        <v>27</v>
      </c>
      <c r="BF18" s="27" t="n">
        <f aca="false">AY18+IF((AZ18&gt;BB18)+(BA18&gt;BB18)+(AZ18=BB18)+(BA18=BB18)&lt;BC18,1,0)</f>
        <v>23</v>
      </c>
    </row>
    <row r="19" customFormat="false" ht="15" hidden="false" customHeight="false" outlineLevel="0" collapsed="false">
      <c r="A19" s="22" t="str">
        <f aca="false">'District Data'!A19</f>
        <v>Charsadda</v>
      </c>
      <c r="B19" s="22" t="str">
        <f aca="false">'District Data'!C19</f>
        <v>Peshawar Region</v>
      </c>
      <c r="C19" s="22" t="str">
        <f aca="false">'District Data'!D19</f>
        <v>Stronghold</v>
      </c>
      <c r="D19" s="23" t="n">
        <f aca="false">ROUND('District Data'!E19*'District Data'!F19,0)</f>
        <v>574015</v>
      </c>
      <c r="E19" s="23" t="n">
        <f aca="false">'District Data'!I19</f>
        <v>201</v>
      </c>
      <c r="F19" s="23" t="n">
        <f aca="false">'District Data'!L19</f>
        <v>132968.5</v>
      </c>
      <c r="G19" s="24" t="n">
        <f aca="false">IFERROR(F19/(E19*Weeks),0)</f>
        <v>12.7218235744355</v>
      </c>
      <c r="H19" s="25" t="n">
        <f aca="false">IFERROR('District Data'!N19/('District Data'!M19*Weeks),0)</f>
        <v>4.28461538461538</v>
      </c>
      <c r="I19" s="24" t="n">
        <f aca="false">IFERROR(SUMIFS('District Data'!$N$5:$N$119,'District Data'!$C$5:$C$119,B19)/(SUMIFS('District Data'!$M$5:$M$119,'District Data'!$C$5:$C$119,B19)*Weeks),0)</f>
        <v>7.60397053195561</v>
      </c>
      <c r="J19" s="24" t="n">
        <f aca="false">IF(TPBasis="NI TP",IF(H19&gt;0,H19,I19),G19)</f>
        <v>4.28461538461538</v>
      </c>
      <c r="K19" s="26" t="n">
        <f aca="false">IFERROR(F19/D19,0)</f>
        <v>0.231646385547416</v>
      </c>
      <c r="L19" s="27" t="n">
        <f aca="false">IFERROR(D19/E19,0)</f>
        <v>2855.7960199005</v>
      </c>
      <c r="M19" s="28" t="n">
        <f aca="false">IFERROR('District Data'!L19/'District Data'!K19-1,0)</f>
        <v>-0.0359201204732796</v>
      </c>
      <c r="N19" s="28" t="n">
        <f aca="false">IFERROR(('District Data'!L19/'District Data'!J19)^(1/2)-1,0)</f>
        <v>0.00652000830570221</v>
      </c>
      <c r="O19" s="28" t="n">
        <f aca="false">IFERROR('District Data'!I19/'District Data'!H19-1,0)</f>
        <v>0.0691489361702127</v>
      </c>
      <c r="P19" s="7" t="str">
        <f aca="false">IF(K19&gt;=PCC_L1,"Layer 01",IF(K19&gt;=PCC_L2,"Layer 02",IF(K19&gt;=PCC_L3,"Layer 03",IF(K19&gt;=PCC_L4,"Layer 04","Layer 05"))))</f>
        <v>Layer 04</v>
      </c>
      <c r="Q19" s="7" t="str">
        <f aca="false">IF(L19&gt;=PPO_L1,"Layer 01",IF(L19&gt;=PPO_L2,"Layer 02",IF(L19&gt;=PPO_L3,"Layer 03",IF(L19&gt;=PPO_L4,"Layer 04","Layer 05"))))</f>
        <v>Layer 04</v>
      </c>
      <c r="R19" s="29" t="n">
        <f aca="false">D19/IdealPPO-E19</f>
        <v>564.353333333333</v>
      </c>
      <c r="S19" s="29" t="n">
        <f aca="false">IdealTP*Weeks-(Weeks*J19+FirstFill)</f>
        <v>477.2</v>
      </c>
      <c r="T19" s="29" t="n">
        <f aca="false">IF(S19&gt;0,(F19-IdealTP*Weeks*E19)/S19,1000000000000)</f>
        <v>-49.8983654652137</v>
      </c>
      <c r="U19" s="27" t="n">
        <f aca="false">IF(E19&lt;=0,0,IF(G19&lt;=IdealTP,0,IF(L19&lt;=IdealPPO,0,INT(MIN(T19,R19)+0.000000001))))</f>
        <v>0</v>
      </c>
      <c r="V19" s="7" t="str">
        <f aca="false">IF(E19&lt;=0,"No current outlets",IF(G19&lt;=IdealTP,"TP already at or below ideal",IF(L19&lt;=IdealPPO,"PPO already at or below ideal",IF(T19&lt;=R19,"Stopped by TP reaching ideal","Stopped by PPO reaching ideal"))))</f>
        <v>TP already at or below ideal</v>
      </c>
      <c r="W19" s="30" t="n">
        <f aca="false">F19+U19*(Weeks*J19+FirstFill)</f>
        <v>132968.5</v>
      </c>
      <c r="X19" s="30" t="n">
        <f aca="false">E19+U19</f>
        <v>201</v>
      </c>
      <c r="Y19" s="24" t="n">
        <f aca="false">IFERROR(W19/(X19*Weeks),0)</f>
        <v>12.7218235744355</v>
      </c>
      <c r="Z19" s="30" t="n">
        <f aca="false">IFERROR(D19/X19,0)</f>
        <v>2855.7960199005</v>
      </c>
      <c r="AA19" s="7" t="str">
        <f aca="false">IF(AND(K19&gt;=NationalPCC,L19&gt;IdealPPO),"Q1: High PCC, High PPO",IF(K19&gt;=NationalPCC,"Q2: High PCC, Low PPO",IF(L19&gt;IdealPPO,"Q3: Low PCC, High PPO","Q4: Low PCC, Low PPO")))</f>
        <v>Q3: Low PCC, High PPO</v>
      </c>
      <c r="AB19" s="7" t="str">
        <f aca="false">IF(K19&gt;=NationalPCC,IF(L19&gt;IdealPPO,"Phase 1","Phase 2"),"Phase 3")</f>
        <v>Phase 3</v>
      </c>
      <c r="AC19" s="7" t="str">
        <f aca="false">IF(AND(G19&gt;IdealTP,L19&gt;IdealPPO),"High TP, High PPO",IF(G19&gt;IdealTP,"High TP, Low PPO",IF(L19&gt;IdealPPO,"Low TP, High PPO","Low TP, Low PPO")))</f>
        <v>Low TP, High PPO</v>
      </c>
      <c r="AD19" s="31" t="n">
        <f aca="false">INDEX(WaveNumbers,MATCH(C19,WaveNames,0))</f>
        <v>1</v>
      </c>
      <c r="AE19" s="32" t="str">
        <f aca="false">IF(U19&gt;0,AD19*10000000+VALUE(RIGHT(AB19,1))*1000000+(1000000-U19)+ROW()/1000000,"")</f>
        <v/>
      </c>
      <c r="AF19" s="31" t="str">
        <f aca="false">IF(U19&gt;0,COUNTIFS($AE$5:$AE$119,"&lt;"&amp;AE19)+1,"")</f>
        <v/>
      </c>
      <c r="AG19" s="7" t="str">
        <f aca="false">IF(AF19="","No",IF(AF19&lt;=TopN,"Yes","No"))</f>
        <v>No</v>
      </c>
      <c r="AH19" s="30" t="n">
        <f aca="false">INT('District Data'!O19*ConvRate)</f>
        <v>56</v>
      </c>
      <c r="AI19" s="27" t="n">
        <f aca="false">MIN(U19,AH19)</f>
        <v>0</v>
      </c>
      <c r="AJ19" s="7" t="str">
        <f aca="false">IF(U19=0,"No expansion",IF(AH19&lt;U19,"Supply constrained (not enough shops)","Demand constrained (enough shops)"))</f>
        <v>No expansion</v>
      </c>
      <c r="AK19" s="30" t="n">
        <f aca="false">IF(AG19="Yes",AI19,0)</f>
        <v>0</v>
      </c>
      <c r="AL19" s="26" t="n">
        <f aca="false">IF(AG19="Yes",IF(Budget1&gt;=ShortlistFinal,AK19,AK19/ShortlistFinal*Budget1),0)</f>
        <v>0</v>
      </c>
      <c r="AM19" s="30" t="n">
        <f aca="false">INT(AL19)</f>
        <v>0</v>
      </c>
      <c r="AN19" s="26" t="n">
        <f aca="false">IF(AND(AG19="Yes",Budget1&lt;ShortlistFinal),AL19-AM19,-1)</f>
        <v>-1</v>
      </c>
      <c r="AO19" s="27" t="n">
        <f aca="false">IF(AG19&lt;&gt;"Yes",0,IF(Budget1&gt;=ShortlistFinal,AK19,AM19+IF(COUNTIFS($AN$5:$AN$119,"&gt;"&amp;AN19)+COUNTIFS($AN$5:$AN$119,AN19,$AF$5:$AF$119,"&lt;"&amp;AF19)&lt;Budget1-SUM($AM$5:$AM$119),1,0)))</f>
        <v>0</v>
      </c>
      <c r="AP19" s="26" t="n">
        <f aca="false">IF(AG19="Yes",IF(Budget2&gt;=ShortlistFinal,AK19,AK19/ShortlistFinal*Budget2),0)</f>
        <v>0</v>
      </c>
      <c r="AQ19" s="30" t="n">
        <f aca="false">INT(AP19)</f>
        <v>0</v>
      </c>
      <c r="AR19" s="26" t="n">
        <f aca="false">IF(AND(AG19="Yes",Budget2&lt;ShortlistFinal),AP19-AQ19,-1)</f>
        <v>-1</v>
      </c>
      <c r="AS19" s="27" t="n">
        <f aca="false">IF(AG19&lt;&gt;"Yes",0,IF(Budget2&gt;=ShortlistFinal,AK19,AQ19+IF(COUNTIFS($AR$5:$AR$119,"&gt;"&amp;AR19)+COUNTIFS($AR$5:$AR$119,AR19,$AF$5:$AF$119,"&lt;"&amp;AF19)&lt;Budget2-SUM($AQ$5:$AQ$119),1,0)))</f>
        <v>0</v>
      </c>
      <c r="AT19" s="26" t="n">
        <f aca="false">AK19*Share2025</f>
        <v>0</v>
      </c>
      <c r="AU19" s="26" t="n">
        <f aca="false">AK19*Share2026</f>
        <v>0</v>
      </c>
      <c r="AV19" s="26" t="n">
        <f aca="false">AK19*Share2027</f>
        <v>0</v>
      </c>
      <c r="AW19" s="31" t="n">
        <f aca="false">INT(AT19)</f>
        <v>0</v>
      </c>
      <c r="AX19" s="31" t="n">
        <f aca="false">INT(AU19)</f>
        <v>0</v>
      </c>
      <c r="AY19" s="31" t="n">
        <f aca="false">INT(AV19)</f>
        <v>0</v>
      </c>
      <c r="AZ19" s="26" t="n">
        <f aca="false">AT19-AW19</f>
        <v>0</v>
      </c>
      <c r="BA19" s="26" t="n">
        <f aca="false">AU19-AX19</f>
        <v>0</v>
      </c>
      <c r="BB19" s="26" t="n">
        <f aca="false">AV19-AY19</f>
        <v>0</v>
      </c>
      <c r="BC19" s="31" t="n">
        <f aca="false">AK19-AW19-AX19-AY19</f>
        <v>0</v>
      </c>
      <c r="BD19" s="27" t="n">
        <f aca="false">AW19+IF((BA19&gt;AZ19)+(BB19&gt;AZ19)&lt;BC19,1,0)</f>
        <v>0</v>
      </c>
      <c r="BE19" s="27" t="n">
        <f aca="false">AX19+IF((AZ19&gt;BA19)+(BB19&gt;BA19)+(AZ19=BA19)&lt;BC19,1,0)</f>
        <v>0</v>
      </c>
      <c r="BF19" s="27" t="n">
        <f aca="false">AY19+IF((AZ19&gt;BB19)+(BA19&gt;BB19)+(AZ19=BB19)+(BA19=BB19)&lt;BC19,1,0)</f>
        <v>0</v>
      </c>
    </row>
    <row r="20" customFormat="false" ht="15" hidden="false" customHeight="false" outlineLevel="0" collapsed="false">
      <c r="A20" s="22" t="str">
        <f aca="false">'District Data'!A20</f>
        <v>Chitral</v>
      </c>
      <c r="B20" s="22" t="str">
        <f aca="false">'District Data'!C20</f>
        <v>Peshawar Region</v>
      </c>
      <c r="C20" s="22" t="str">
        <f aca="false">'District Data'!D20</f>
        <v>Rest</v>
      </c>
      <c r="D20" s="23" t="n">
        <f aca="false">ROUND('District Data'!E20*'District Data'!F20,0)</f>
        <v>97206</v>
      </c>
      <c r="E20" s="23" t="n">
        <f aca="false">'District Data'!I20</f>
        <v>7</v>
      </c>
      <c r="F20" s="23" t="n">
        <f aca="false">'District Data'!L20</f>
        <v>3184.2</v>
      </c>
      <c r="G20" s="24" t="n">
        <f aca="false">IFERROR(F20/(E20*Weeks),0)</f>
        <v>8.7478021978022</v>
      </c>
      <c r="H20" s="25" t="n">
        <f aca="false">IFERROR('District Data'!N20/('District Data'!M20*Weeks),0)</f>
        <v>0</v>
      </c>
      <c r="I20" s="24" t="n">
        <f aca="false">IFERROR(SUMIFS('District Data'!$N$5:$N$119,'District Data'!$C$5:$C$119,B20)/(SUMIFS('District Data'!$M$5:$M$119,'District Data'!$C$5:$C$119,B20)*Weeks),0)</f>
        <v>7.60397053195561</v>
      </c>
      <c r="J20" s="24" t="n">
        <f aca="false">IF(TPBasis="NI TP",IF(H20&gt;0,H20,I20),G20)</f>
        <v>7.60397053195561</v>
      </c>
      <c r="K20" s="26" t="n">
        <f aca="false">IFERROR(F20/D20,0)</f>
        <v>0.0327572372075798</v>
      </c>
      <c r="L20" s="27" t="n">
        <f aca="false">IFERROR(D20/E20,0)</f>
        <v>13886.5714285714</v>
      </c>
      <c r="M20" s="28" t="n">
        <f aca="false">IFERROR('District Data'!L20/'District Data'!K20-1,0)</f>
        <v>-0.0585696123939332</v>
      </c>
      <c r="N20" s="28" t="n">
        <f aca="false">IFERROR(('District Data'!L20/'District Data'!J20)^(1/2)-1,0)</f>
        <v>-0.026280296012115</v>
      </c>
      <c r="O20" s="28" t="n">
        <f aca="false">IFERROR('District Data'!I20/'District Data'!H20-1,0)</f>
        <v>0</v>
      </c>
      <c r="P20" s="7" t="str">
        <f aca="false">IF(K20&gt;=PCC_L1,"Layer 01",IF(K20&gt;=PCC_L2,"Layer 02",IF(K20&gt;=PCC_L3,"Layer 03",IF(K20&gt;=PCC_L4,"Layer 04","Layer 05"))))</f>
        <v>Layer 05</v>
      </c>
      <c r="Q20" s="7" t="str">
        <f aca="false">IF(L20&gt;=PPO_L1,"Layer 01",IF(L20&gt;=PPO_L2,"Layer 02",IF(L20&gt;=PPO_L3,"Layer 03",IF(L20&gt;=PPO_L4,"Layer 04","Layer 05"))))</f>
        <v>Layer 03</v>
      </c>
      <c r="R20" s="29" t="n">
        <f aca="false">D20/IdealPPO-E20</f>
        <v>122.608</v>
      </c>
      <c r="S20" s="29" t="n">
        <f aca="false">IdealTP*Weeks-(Weeks*J20+FirstFill)</f>
        <v>304.593532338309</v>
      </c>
      <c r="T20" s="29" t="n">
        <f aca="false">IF(S20&gt;0,(F20-IdealTP*Weeks*E20)/S20,1000000000000)</f>
        <v>-7.47159659802722</v>
      </c>
      <c r="U20" s="27" t="n">
        <f aca="false">IF(E20&lt;=0,0,IF(G20&lt;=IdealTP,0,IF(L20&lt;=IdealPPO,0,INT(MIN(T20,R20)+0.000000001))))</f>
        <v>0</v>
      </c>
      <c r="V20" s="7" t="str">
        <f aca="false">IF(E20&lt;=0,"No current outlets",IF(G20&lt;=IdealTP,"TP already at or below ideal",IF(L20&lt;=IdealPPO,"PPO already at or below ideal",IF(T20&lt;=R20,"Stopped by TP reaching ideal","Stopped by PPO reaching ideal"))))</f>
        <v>TP already at or below ideal</v>
      </c>
      <c r="W20" s="30" t="n">
        <f aca="false">F20+U20*(Weeks*J20+FirstFill)</f>
        <v>3184.2</v>
      </c>
      <c r="X20" s="30" t="n">
        <f aca="false">E20+U20</f>
        <v>7</v>
      </c>
      <c r="Y20" s="24" t="n">
        <f aca="false">IFERROR(W20/(X20*Weeks),0)</f>
        <v>8.7478021978022</v>
      </c>
      <c r="Z20" s="30" t="n">
        <f aca="false">IFERROR(D20/X20,0)</f>
        <v>13886.5714285714</v>
      </c>
      <c r="AA20" s="7" t="str">
        <f aca="false">IF(AND(K20&gt;=NationalPCC,L20&gt;IdealPPO),"Q1: High PCC, High PPO",IF(K20&gt;=NationalPCC,"Q2: High PCC, Low PPO",IF(L20&gt;IdealPPO,"Q3: Low PCC, High PPO","Q4: Low PCC, Low PPO")))</f>
        <v>Q3: Low PCC, High PPO</v>
      </c>
      <c r="AB20" s="7" t="str">
        <f aca="false">IF(K20&gt;=NationalPCC,IF(L20&gt;IdealPPO,"Phase 1","Phase 2"),"Phase 3")</f>
        <v>Phase 3</v>
      </c>
      <c r="AC20" s="7" t="str">
        <f aca="false">IF(AND(G20&gt;IdealTP,L20&gt;IdealPPO),"High TP, High PPO",IF(G20&gt;IdealTP,"High TP, Low PPO",IF(L20&gt;IdealPPO,"Low TP, High PPO","Low TP, Low PPO")))</f>
        <v>Low TP, High PPO</v>
      </c>
      <c r="AD20" s="31" t="n">
        <f aca="false">INDEX(WaveNumbers,MATCH(C20,WaveNames,0))</f>
        <v>4</v>
      </c>
      <c r="AE20" s="32" t="str">
        <f aca="false">IF(U20&gt;0,AD20*10000000+VALUE(RIGHT(AB20,1))*1000000+(1000000-U20)+ROW()/1000000,"")</f>
        <v/>
      </c>
      <c r="AF20" s="31" t="str">
        <f aca="false">IF(U20&gt;0,COUNTIFS($AE$5:$AE$119,"&lt;"&amp;AE20)+1,"")</f>
        <v/>
      </c>
      <c r="AG20" s="7" t="str">
        <f aca="false">IF(AF20="","No",IF(AF20&lt;=TopN,"Yes","No"))</f>
        <v>No</v>
      </c>
      <c r="AH20" s="30" t="n">
        <f aca="false">INT('District Data'!O20*ConvRate)</f>
        <v>5</v>
      </c>
      <c r="AI20" s="27" t="n">
        <f aca="false">MIN(U20,AH20)</f>
        <v>0</v>
      </c>
      <c r="AJ20" s="7" t="str">
        <f aca="false">IF(U20=0,"No expansion",IF(AH20&lt;U20,"Supply constrained (not enough shops)","Demand constrained (enough shops)"))</f>
        <v>No expansion</v>
      </c>
      <c r="AK20" s="30" t="n">
        <f aca="false">IF(AG20="Yes",AI20,0)</f>
        <v>0</v>
      </c>
      <c r="AL20" s="26" t="n">
        <f aca="false">IF(AG20="Yes",IF(Budget1&gt;=ShortlistFinal,AK20,AK20/ShortlistFinal*Budget1),0)</f>
        <v>0</v>
      </c>
      <c r="AM20" s="30" t="n">
        <f aca="false">INT(AL20)</f>
        <v>0</v>
      </c>
      <c r="AN20" s="26" t="n">
        <f aca="false">IF(AND(AG20="Yes",Budget1&lt;ShortlistFinal),AL20-AM20,-1)</f>
        <v>-1</v>
      </c>
      <c r="AO20" s="27" t="n">
        <f aca="false">IF(AG20&lt;&gt;"Yes",0,IF(Budget1&gt;=ShortlistFinal,AK20,AM20+IF(COUNTIFS($AN$5:$AN$119,"&gt;"&amp;AN20)+COUNTIFS($AN$5:$AN$119,AN20,$AF$5:$AF$119,"&lt;"&amp;AF20)&lt;Budget1-SUM($AM$5:$AM$119),1,0)))</f>
        <v>0</v>
      </c>
      <c r="AP20" s="26" t="n">
        <f aca="false">IF(AG20="Yes",IF(Budget2&gt;=ShortlistFinal,AK20,AK20/ShortlistFinal*Budget2),0)</f>
        <v>0</v>
      </c>
      <c r="AQ20" s="30" t="n">
        <f aca="false">INT(AP20)</f>
        <v>0</v>
      </c>
      <c r="AR20" s="26" t="n">
        <f aca="false">IF(AND(AG20="Yes",Budget2&lt;ShortlistFinal),AP20-AQ20,-1)</f>
        <v>-1</v>
      </c>
      <c r="AS20" s="27" t="n">
        <f aca="false">IF(AG20&lt;&gt;"Yes",0,IF(Budget2&gt;=ShortlistFinal,AK20,AQ20+IF(COUNTIFS($AR$5:$AR$119,"&gt;"&amp;AR20)+COUNTIFS($AR$5:$AR$119,AR20,$AF$5:$AF$119,"&lt;"&amp;AF20)&lt;Budget2-SUM($AQ$5:$AQ$119),1,0)))</f>
        <v>0</v>
      </c>
      <c r="AT20" s="26" t="n">
        <f aca="false">AK20*Share2025</f>
        <v>0</v>
      </c>
      <c r="AU20" s="26" t="n">
        <f aca="false">AK20*Share2026</f>
        <v>0</v>
      </c>
      <c r="AV20" s="26" t="n">
        <f aca="false">AK20*Share2027</f>
        <v>0</v>
      </c>
      <c r="AW20" s="31" t="n">
        <f aca="false">INT(AT20)</f>
        <v>0</v>
      </c>
      <c r="AX20" s="31" t="n">
        <f aca="false">INT(AU20)</f>
        <v>0</v>
      </c>
      <c r="AY20" s="31" t="n">
        <f aca="false">INT(AV20)</f>
        <v>0</v>
      </c>
      <c r="AZ20" s="26" t="n">
        <f aca="false">AT20-AW20</f>
        <v>0</v>
      </c>
      <c r="BA20" s="26" t="n">
        <f aca="false">AU20-AX20</f>
        <v>0</v>
      </c>
      <c r="BB20" s="26" t="n">
        <f aca="false">AV20-AY20</f>
        <v>0</v>
      </c>
      <c r="BC20" s="31" t="n">
        <f aca="false">AK20-AW20-AX20-AY20</f>
        <v>0</v>
      </c>
      <c r="BD20" s="27" t="n">
        <f aca="false">AW20+IF((BA20&gt;AZ20)+(BB20&gt;AZ20)&lt;BC20,1,0)</f>
        <v>0</v>
      </c>
      <c r="BE20" s="27" t="n">
        <f aca="false">AX20+IF((AZ20&gt;BA20)+(BB20&gt;BA20)+(AZ20=BA20)&lt;BC20,1,0)</f>
        <v>0</v>
      </c>
      <c r="BF20" s="27" t="n">
        <f aca="false">AY20+IF((AZ20&gt;BB20)+(BA20&gt;BB20)+(AZ20=BB20)+(BA20=BB20)&lt;BC20,1,0)</f>
        <v>0</v>
      </c>
    </row>
    <row r="21" customFormat="false" ht="15" hidden="false" customHeight="false" outlineLevel="0" collapsed="false">
      <c r="A21" s="22" t="str">
        <f aca="false">'District Data'!A21</f>
        <v>Dadu</v>
      </c>
      <c r="B21" s="22" t="str">
        <f aca="false">'District Data'!C21</f>
        <v>Karachi Region</v>
      </c>
      <c r="C21" s="22" t="str">
        <f aca="false">'District Data'!D21</f>
        <v>Neighbouring</v>
      </c>
      <c r="D21" s="23" t="n">
        <f aca="false">ROUND('District Data'!E21*'District Data'!F21,0)</f>
        <v>453017</v>
      </c>
      <c r="E21" s="23" t="n">
        <f aca="false">'District Data'!I21</f>
        <v>76</v>
      </c>
      <c r="F21" s="23" t="n">
        <f aca="false">'District Data'!L21</f>
        <v>52387.9</v>
      </c>
      <c r="G21" s="24" t="n">
        <f aca="false">IFERROR(F21/(E21*Weeks),0)</f>
        <v>13.2560475708502</v>
      </c>
      <c r="H21" s="25" t="n">
        <f aca="false">IFERROR('District Data'!N21/('District Data'!M21*Weeks),0)</f>
        <v>9.75961538461539</v>
      </c>
      <c r="I21" s="24" t="n">
        <f aca="false">IFERROR(SUMIFS('District Data'!$N$5:$N$119,'District Data'!$C$5:$C$119,B21)/(SUMIFS('District Data'!$M$5:$M$119,'District Data'!$C$5:$C$119,B21)*Weeks),0)</f>
        <v>12.952446872194</v>
      </c>
      <c r="J21" s="24" t="n">
        <f aca="false">IF(TPBasis="NI TP",IF(H21&gt;0,H21,I21),G21)</f>
        <v>9.75961538461539</v>
      </c>
      <c r="K21" s="26" t="n">
        <f aca="false">IFERROR(F21/D21,0)</f>
        <v>0.115642238591488</v>
      </c>
      <c r="L21" s="27" t="n">
        <f aca="false">IFERROR(D21/E21,0)</f>
        <v>5960.75</v>
      </c>
      <c r="M21" s="28" t="n">
        <f aca="false">IFERROR('District Data'!L21/'District Data'!K21-1,0)</f>
        <v>-0.0196398028347188</v>
      </c>
      <c r="N21" s="28" t="n">
        <f aca="false">IFERROR(('District Data'!L21/'District Data'!J21)^(1/2)-1,0)</f>
        <v>-0.00973052750630954</v>
      </c>
      <c r="O21" s="28" t="n">
        <f aca="false">IFERROR('District Data'!I21/'District Data'!H21-1,0)</f>
        <v>0.0704225352112675</v>
      </c>
      <c r="P21" s="7" t="str">
        <f aca="false">IF(K21&gt;=PCC_L1,"Layer 01",IF(K21&gt;=PCC_L2,"Layer 02",IF(K21&gt;=PCC_L3,"Layer 03",IF(K21&gt;=PCC_L4,"Layer 04","Layer 05"))))</f>
        <v>Layer 05</v>
      </c>
      <c r="Q21" s="7" t="str">
        <f aca="false">IF(L21&gt;=PPO_L1,"Layer 01",IF(L21&gt;=PPO_L2,"Layer 02",IF(L21&gt;=PPO_L3,"Layer 03",IF(L21&gt;=PPO_L4,"Layer 04","Layer 05"))))</f>
        <v>Layer 03</v>
      </c>
      <c r="R21" s="29" t="n">
        <f aca="false">D21/IdealPPO-E21</f>
        <v>528.022666666667</v>
      </c>
      <c r="S21" s="29" t="n">
        <f aca="false">IdealTP*Weeks-(Weeks*J21+FirstFill)</f>
        <v>192.5</v>
      </c>
      <c r="T21" s="29" t="n">
        <f aca="false">IF(S21&gt;0,(F21-IdealTP*Weeks*E21)/S21,1000000000000)</f>
        <v>-35.8031168831169</v>
      </c>
      <c r="U21" s="27" t="n">
        <f aca="false">IF(E21&lt;=0,0,IF(G21&lt;=IdealTP,0,IF(L21&lt;=IdealPPO,0,INT(MIN(T21,R21)+0.000000001))))</f>
        <v>0</v>
      </c>
      <c r="V21" s="7" t="str">
        <f aca="false">IF(E21&lt;=0,"No current outlets",IF(G21&lt;=IdealTP,"TP already at or below ideal",IF(L21&lt;=IdealPPO,"PPO already at or below ideal",IF(T21&lt;=R21,"Stopped by TP reaching ideal","Stopped by PPO reaching ideal"))))</f>
        <v>TP already at or below ideal</v>
      </c>
      <c r="W21" s="30" t="n">
        <f aca="false">F21+U21*(Weeks*J21+FirstFill)</f>
        <v>52387.9</v>
      </c>
      <c r="X21" s="30" t="n">
        <f aca="false">E21+U21</f>
        <v>76</v>
      </c>
      <c r="Y21" s="24" t="n">
        <f aca="false">IFERROR(W21/(X21*Weeks),0)</f>
        <v>13.2560475708502</v>
      </c>
      <c r="Z21" s="30" t="n">
        <f aca="false">IFERROR(D21/X21,0)</f>
        <v>5960.75</v>
      </c>
      <c r="AA21" s="7" t="str">
        <f aca="false">IF(AND(K21&gt;=NationalPCC,L21&gt;IdealPPO),"Q1: High PCC, High PPO",IF(K21&gt;=NationalPCC,"Q2: High PCC, Low PPO",IF(L21&gt;IdealPPO,"Q3: Low PCC, High PPO","Q4: Low PCC, Low PPO")))</f>
        <v>Q3: Low PCC, High PPO</v>
      </c>
      <c r="AB21" s="7" t="str">
        <f aca="false">IF(K21&gt;=NationalPCC,IF(L21&gt;IdealPPO,"Phase 1","Phase 2"),"Phase 3")</f>
        <v>Phase 3</v>
      </c>
      <c r="AC21" s="7" t="str">
        <f aca="false">IF(AND(G21&gt;IdealTP,L21&gt;IdealPPO),"High TP, High PPO",IF(G21&gt;IdealTP,"High TP, Low PPO",IF(L21&gt;IdealPPO,"Low TP, High PPO","Low TP, Low PPO")))</f>
        <v>Low TP, High PPO</v>
      </c>
      <c r="AD21" s="31" t="n">
        <f aca="false">INDEX(WaveNumbers,MATCH(C21,WaveNames,0))</f>
        <v>2</v>
      </c>
      <c r="AE21" s="32" t="str">
        <f aca="false">IF(U21&gt;0,AD21*10000000+VALUE(RIGHT(AB21,1))*1000000+(1000000-U21)+ROW()/1000000,"")</f>
        <v/>
      </c>
      <c r="AF21" s="31" t="str">
        <f aca="false">IF(U21&gt;0,COUNTIFS($AE$5:$AE$119,"&lt;"&amp;AE21)+1,"")</f>
        <v/>
      </c>
      <c r="AG21" s="7" t="str">
        <f aca="false">IF(AF21="","No",IF(AF21&lt;=TopN,"Yes","No"))</f>
        <v>No</v>
      </c>
      <c r="AH21" s="30" t="n">
        <f aca="false">INT('District Data'!O21*ConvRate)</f>
        <v>25</v>
      </c>
      <c r="AI21" s="27" t="n">
        <f aca="false">MIN(U21,AH21)</f>
        <v>0</v>
      </c>
      <c r="AJ21" s="7" t="str">
        <f aca="false">IF(U21=0,"No expansion",IF(AH21&lt;U21,"Supply constrained (not enough shops)","Demand constrained (enough shops)"))</f>
        <v>No expansion</v>
      </c>
      <c r="AK21" s="30" t="n">
        <f aca="false">IF(AG21="Yes",AI21,0)</f>
        <v>0</v>
      </c>
      <c r="AL21" s="26" t="n">
        <f aca="false">IF(AG21="Yes",IF(Budget1&gt;=ShortlistFinal,AK21,AK21/ShortlistFinal*Budget1),0)</f>
        <v>0</v>
      </c>
      <c r="AM21" s="30" t="n">
        <f aca="false">INT(AL21)</f>
        <v>0</v>
      </c>
      <c r="AN21" s="26" t="n">
        <f aca="false">IF(AND(AG21="Yes",Budget1&lt;ShortlistFinal),AL21-AM21,-1)</f>
        <v>-1</v>
      </c>
      <c r="AO21" s="27" t="n">
        <f aca="false">IF(AG21&lt;&gt;"Yes",0,IF(Budget1&gt;=ShortlistFinal,AK21,AM21+IF(COUNTIFS($AN$5:$AN$119,"&gt;"&amp;AN21)+COUNTIFS($AN$5:$AN$119,AN21,$AF$5:$AF$119,"&lt;"&amp;AF21)&lt;Budget1-SUM($AM$5:$AM$119),1,0)))</f>
        <v>0</v>
      </c>
      <c r="AP21" s="26" t="n">
        <f aca="false">IF(AG21="Yes",IF(Budget2&gt;=ShortlistFinal,AK21,AK21/ShortlistFinal*Budget2),0)</f>
        <v>0</v>
      </c>
      <c r="AQ21" s="30" t="n">
        <f aca="false">INT(AP21)</f>
        <v>0</v>
      </c>
      <c r="AR21" s="26" t="n">
        <f aca="false">IF(AND(AG21="Yes",Budget2&lt;ShortlistFinal),AP21-AQ21,-1)</f>
        <v>-1</v>
      </c>
      <c r="AS21" s="27" t="n">
        <f aca="false">IF(AG21&lt;&gt;"Yes",0,IF(Budget2&gt;=ShortlistFinal,AK21,AQ21+IF(COUNTIFS($AR$5:$AR$119,"&gt;"&amp;AR21)+COUNTIFS($AR$5:$AR$119,AR21,$AF$5:$AF$119,"&lt;"&amp;AF21)&lt;Budget2-SUM($AQ$5:$AQ$119),1,0)))</f>
        <v>0</v>
      </c>
      <c r="AT21" s="26" t="n">
        <f aca="false">AK21*Share2025</f>
        <v>0</v>
      </c>
      <c r="AU21" s="26" t="n">
        <f aca="false">AK21*Share2026</f>
        <v>0</v>
      </c>
      <c r="AV21" s="26" t="n">
        <f aca="false">AK21*Share2027</f>
        <v>0</v>
      </c>
      <c r="AW21" s="31" t="n">
        <f aca="false">INT(AT21)</f>
        <v>0</v>
      </c>
      <c r="AX21" s="31" t="n">
        <f aca="false">INT(AU21)</f>
        <v>0</v>
      </c>
      <c r="AY21" s="31" t="n">
        <f aca="false">INT(AV21)</f>
        <v>0</v>
      </c>
      <c r="AZ21" s="26" t="n">
        <f aca="false">AT21-AW21</f>
        <v>0</v>
      </c>
      <c r="BA21" s="26" t="n">
        <f aca="false">AU21-AX21</f>
        <v>0</v>
      </c>
      <c r="BB21" s="26" t="n">
        <f aca="false">AV21-AY21</f>
        <v>0</v>
      </c>
      <c r="BC21" s="31" t="n">
        <f aca="false">AK21-AW21-AX21-AY21</f>
        <v>0</v>
      </c>
      <c r="BD21" s="27" t="n">
        <f aca="false">AW21+IF((BA21&gt;AZ21)+(BB21&gt;AZ21)&lt;BC21,1,0)</f>
        <v>0</v>
      </c>
      <c r="BE21" s="27" t="n">
        <f aca="false">AX21+IF((AZ21&gt;BA21)+(BB21&gt;BA21)+(AZ21=BA21)&lt;BC21,1,0)</f>
        <v>0</v>
      </c>
      <c r="BF21" s="27" t="n">
        <f aca="false">AY21+IF((AZ21&gt;BB21)+(BA21&gt;BB21)+(AZ21=BB21)+(BA21=BB21)&lt;BC21,1,0)</f>
        <v>0</v>
      </c>
    </row>
    <row r="22" customFormat="false" ht="15" hidden="false" customHeight="false" outlineLevel="0" collapsed="false">
      <c r="A22" s="22" t="str">
        <f aca="false">'District Data'!A22</f>
        <v>Dera Bugti</v>
      </c>
      <c r="B22" s="22" t="str">
        <f aca="false">'District Data'!C22</f>
        <v>Multan Region</v>
      </c>
      <c r="C22" s="22" t="str">
        <f aca="false">'District Data'!D22</f>
        <v>Rest</v>
      </c>
      <c r="D22" s="23" t="n">
        <f aca="false">ROUND('District Data'!E22*'District Data'!F22,0)</f>
        <v>112479</v>
      </c>
      <c r="E22" s="23" t="n">
        <f aca="false">'District Data'!I22</f>
        <v>7</v>
      </c>
      <c r="F22" s="23" t="n">
        <f aca="false">'District Data'!L22</f>
        <v>5933.1</v>
      </c>
      <c r="G22" s="24" t="n">
        <f aca="false">IFERROR(F22/(E22*Weeks),0)</f>
        <v>16.2997252747253</v>
      </c>
      <c r="H22" s="25" t="n">
        <f aca="false">IFERROR('District Data'!N22/('District Data'!M22*Weeks),0)</f>
        <v>11.2519230769231</v>
      </c>
      <c r="I22" s="24" t="n">
        <f aca="false">IFERROR(SUMIFS('District Data'!$N$5:$N$119,'District Data'!$C$5:$C$119,B22)/(SUMIFS('District Data'!$M$5:$M$119,'District Data'!$C$5:$C$119,B22)*Weeks),0)</f>
        <v>8.16663285109386</v>
      </c>
      <c r="J22" s="24" t="n">
        <f aca="false">IF(TPBasis="NI TP",IF(H22&gt;0,H22,I22),G22)</f>
        <v>11.2519230769231</v>
      </c>
      <c r="K22" s="26" t="n">
        <f aca="false">IFERROR(F22/D22,0)</f>
        <v>0.0527485130557704</v>
      </c>
      <c r="L22" s="27" t="n">
        <f aca="false">IFERROR(D22/E22,0)</f>
        <v>16068.4285714286</v>
      </c>
      <c r="M22" s="28" t="n">
        <f aca="false">IFERROR('District Data'!L22/'District Data'!K22-1,0)</f>
        <v>0.0111974639533696</v>
      </c>
      <c r="N22" s="28" t="n">
        <f aca="false">IFERROR(('District Data'!L22/'District Data'!J22)^(1/2)-1,0)</f>
        <v>0.100784712416382</v>
      </c>
      <c r="O22" s="28" t="n">
        <f aca="false">IFERROR('District Data'!I22/'District Data'!H22-1,0)</f>
        <v>0</v>
      </c>
      <c r="P22" s="7" t="str">
        <f aca="false">IF(K22&gt;=PCC_L1,"Layer 01",IF(K22&gt;=PCC_L2,"Layer 02",IF(K22&gt;=PCC_L3,"Layer 03",IF(K22&gt;=PCC_L4,"Layer 04","Layer 05"))))</f>
        <v>Layer 05</v>
      </c>
      <c r="Q22" s="7" t="str">
        <f aca="false">IF(L22&gt;=PPO_L1,"Layer 01",IF(L22&gt;=PPO_L2,"Layer 02",IF(L22&gt;=PPO_L3,"Layer 03",IF(L22&gt;=PPO_L4,"Layer 04","Layer 05"))))</f>
        <v>Layer 02</v>
      </c>
      <c r="R22" s="29" t="n">
        <f aca="false">D22/IdealPPO-E22</f>
        <v>142.972</v>
      </c>
      <c r="S22" s="29" t="n">
        <f aca="false">IdealTP*Weeks-(Weeks*J22+FirstFill)</f>
        <v>114.9</v>
      </c>
      <c r="T22" s="29" t="n">
        <f aca="false">IF(S22&gt;0,(F22-IdealTP*Weeks*E22)/S22,1000000000000)</f>
        <v>4.11749347258486</v>
      </c>
      <c r="U22" s="27" t="n">
        <f aca="false">IF(E22&lt;=0,0,IF(G22&lt;=IdealTP,0,IF(L22&lt;=IdealPPO,0,INT(MIN(T22,R22)+0.000000001))))</f>
        <v>4</v>
      </c>
      <c r="V22" s="7" t="str">
        <f aca="false">IF(E22&lt;=0,"No current outlets",IF(G22&lt;=IdealTP,"TP already at or below ideal",IF(L22&lt;=IdealPPO,"PPO already at or below ideal",IF(T22&lt;=R22,"Stopped by TP reaching ideal","Stopped by PPO reaching ideal"))))</f>
        <v>Stopped by TP reaching ideal</v>
      </c>
      <c r="W22" s="30" t="n">
        <f aca="false">F22+U22*(Weeks*J22+FirstFill)</f>
        <v>8593.5</v>
      </c>
      <c r="X22" s="30" t="n">
        <f aca="false">E22+U22</f>
        <v>11</v>
      </c>
      <c r="Y22" s="24" t="n">
        <f aca="false">IFERROR(W22/(X22*Weeks),0)</f>
        <v>15.0236013986014</v>
      </c>
      <c r="Z22" s="30" t="n">
        <f aca="false">IFERROR(D22/X22,0)</f>
        <v>10225.3636363636</v>
      </c>
      <c r="AA22" s="7" t="str">
        <f aca="false">IF(AND(K22&gt;=NationalPCC,L22&gt;IdealPPO),"Q1: High PCC, High PPO",IF(K22&gt;=NationalPCC,"Q2: High PCC, Low PPO",IF(L22&gt;IdealPPO,"Q3: Low PCC, High PPO","Q4: Low PCC, Low PPO")))</f>
        <v>Q3: Low PCC, High PPO</v>
      </c>
      <c r="AB22" s="7" t="str">
        <f aca="false">IF(K22&gt;=NationalPCC,IF(L22&gt;IdealPPO,"Phase 1","Phase 2"),"Phase 3")</f>
        <v>Phase 3</v>
      </c>
      <c r="AC22" s="7" t="str">
        <f aca="false">IF(AND(G22&gt;IdealTP,L22&gt;IdealPPO),"High TP, High PPO",IF(G22&gt;IdealTP,"High TP, Low PPO",IF(L22&gt;IdealPPO,"Low TP, High PPO","Low TP, Low PPO")))</f>
        <v>High TP, High PPO</v>
      </c>
      <c r="AD22" s="31" t="n">
        <f aca="false">INDEX(WaveNumbers,MATCH(C22,WaveNames,0))</f>
        <v>4</v>
      </c>
      <c r="AE22" s="32" t="n">
        <f aca="false">IF(U22&gt;0,AD22*10000000+VALUE(RIGHT(AB22,1))*1000000+(1000000-U22)+ROW()/1000000,"")</f>
        <v>43999996.000022</v>
      </c>
      <c r="AF22" s="31" t="n">
        <f aca="false">IF(U22&gt;0,COUNTIFS($AE$5:$AE$119,"&lt;"&amp;AE22)+1,"")</f>
        <v>42</v>
      </c>
      <c r="AG22" s="7" t="str">
        <f aca="false">IF(AF22="","No",IF(AF22&lt;=TopN,"Yes","No"))</f>
        <v>Yes</v>
      </c>
      <c r="AH22" s="30" t="n">
        <f aca="false">INT('District Data'!O22*ConvRate)</f>
        <v>12</v>
      </c>
      <c r="AI22" s="27" t="n">
        <f aca="false">MIN(U22,AH22)</f>
        <v>4</v>
      </c>
      <c r="AJ22" s="7" t="str">
        <f aca="false">IF(U22=0,"No expansion",IF(AH22&lt;U22,"Supply constrained (not enough shops)","Demand constrained (enough shops)"))</f>
        <v>Demand constrained (enough shops)</v>
      </c>
      <c r="AK22" s="30" t="n">
        <f aca="false">IF(AG22="Yes",AI22,0)</f>
        <v>4</v>
      </c>
      <c r="AL22" s="26" t="n">
        <f aca="false">IF(AG22="Yes",IF(Budget1&gt;=ShortlistFinal,AK22,AK22/ShortlistFinal*Budget1),0)</f>
        <v>2.36511456023651</v>
      </c>
      <c r="AM22" s="30" t="n">
        <f aca="false">INT(AL22)</f>
        <v>2</v>
      </c>
      <c r="AN22" s="26" t="n">
        <f aca="false">IF(AND(AG22="Yes",Budget1&lt;ShortlistFinal),AL22-AM22,-1)</f>
        <v>0.365114560236512</v>
      </c>
      <c r="AO22" s="27" t="n">
        <f aca="false">IF(AG22&lt;&gt;"Yes",0,IF(Budget1&gt;=ShortlistFinal,AK22,AM22+IF(COUNTIFS($AN$5:$AN$119,"&gt;"&amp;AN22)+COUNTIFS($AN$5:$AN$119,AN22,$AF$5:$AF$119,"&lt;"&amp;AF22)&lt;Budget1-SUM($AM$5:$AM$119),1,0)))</f>
        <v>2</v>
      </c>
      <c r="AP22" s="26" t="n">
        <f aca="false">IF(AG22="Yes",IF(Budget2&gt;=ShortlistFinal,AK22,AK22/ShortlistFinal*Budget2),0)</f>
        <v>3.54767184035477</v>
      </c>
      <c r="AQ22" s="30" t="n">
        <f aca="false">INT(AP22)</f>
        <v>3</v>
      </c>
      <c r="AR22" s="26" t="n">
        <f aca="false">IF(AND(AG22="Yes",Budget2&lt;ShortlistFinal),AP22-AQ22,-1)</f>
        <v>0.547671840354767</v>
      </c>
      <c r="AS22" s="27" t="n">
        <f aca="false">IF(AG22&lt;&gt;"Yes",0,IF(Budget2&gt;=ShortlistFinal,AK22,AQ22+IF(COUNTIFS($AR$5:$AR$119,"&gt;"&amp;AR22)+COUNTIFS($AR$5:$AR$119,AR22,$AF$5:$AF$119,"&lt;"&amp;AF22)&lt;Budget2-SUM($AQ$5:$AQ$119),1,0)))</f>
        <v>4</v>
      </c>
      <c r="AT22" s="26" t="n">
        <f aca="false">AK22*Share2025</f>
        <v>1.41176470588235</v>
      </c>
      <c r="AU22" s="26" t="n">
        <f aca="false">AK22*Share2026</f>
        <v>1.41176470588235</v>
      </c>
      <c r="AV22" s="26" t="n">
        <f aca="false">AK22*Share2027</f>
        <v>1.17647058823529</v>
      </c>
      <c r="AW22" s="31" t="n">
        <f aca="false">INT(AT22)</f>
        <v>1</v>
      </c>
      <c r="AX22" s="31" t="n">
        <f aca="false">INT(AU22)</f>
        <v>1</v>
      </c>
      <c r="AY22" s="31" t="n">
        <f aca="false">INT(AV22)</f>
        <v>1</v>
      </c>
      <c r="AZ22" s="26" t="n">
        <f aca="false">AT22-AW22</f>
        <v>0.411764705882353</v>
      </c>
      <c r="BA22" s="26" t="n">
        <f aca="false">AU22-AX22</f>
        <v>0.411764705882353</v>
      </c>
      <c r="BB22" s="26" t="n">
        <f aca="false">AV22-AY22</f>
        <v>0.176470588235294</v>
      </c>
      <c r="BC22" s="31" t="n">
        <f aca="false">AK22-AW22-AX22-AY22</f>
        <v>1</v>
      </c>
      <c r="BD22" s="27" t="n">
        <f aca="false">AW22+IF((BA22&gt;AZ22)+(BB22&gt;AZ22)&lt;BC22,1,0)</f>
        <v>2</v>
      </c>
      <c r="BE22" s="27" t="n">
        <f aca="false">AX22+IF((AZ22&gt;BA22)+(BB22&gt;BA22)+(AZ22=BA22)&lt;BC22,1,0)</f>
        <v>1</v>
      </c>
      <c r="BF22" s="27" t="n">
        <f aca="false">AY22+IF((AZ22&gt;BB22)+(BA22&gt;BB22)+(AZ22=BB22)+(BA22=BB22)&lt;BC22,1,0)</f>
        <v>1</v>
      </c>
    </row>
    <row r="23" customFormat="false" ht="15" hidden="false" customHeight="false" outlineLevel="0" collapsed="false">
      <c r="A23" s="22" t="str">
        <f aca="false">'District Data'!A23</f>
        <v>Dera Ghazi Khan</v>
      </c>
      <c r="B23" s="22" t="str">
        <f aca="false">'District Data'!C23</f>
        <v>Multan Region</v>
      </c>
      <c r="C23" s="22" t="str">
        <f aca="false">'District Data'!D23</f>
        <v>Neighbouring</v>
      </c>
      <c r="D23" s="23" t="n">
        <f aca="false">ROUND('District Data'!E23*'District Data'!F23,0)</f>
        <v>1102621</v>
      </c>
      <c r="E23" s="23" t="n">
        <f aca="false">'District Data'!I23</f>
        <v>272</v>
      </c>
      <c r="F23" s="23" t="n">
        <f aca="false">'District Data'!L23</f>
        <v>181948</v>
      </c>
      <c r="G23" s="24" t="n">
        <f aca="false">IFERROR(F23/(E23*Weeks),0)</f>
        <v>12.8639705882353</v>
      </c>
      <c r="H23" s="25" t="n">
        <f aca="false">IFERROR('District Data'!N23/('District Data'!M23*Weeks),0)</f>
        <v>8.66754079254079</v>
      </c>
      <c r="I23" s="24" t="n">
        <f aca="false">IFERROR(SUMIFS('District Data'!$N$5:$N$119,'District Data'!$C$5:$C$119,B23)/(SUMIFS('District Data'!$M$5:$M$119,'District Data'!$C$5:$C$119,B23)*Weeks),0)</f>
        <v>8.16663285109386</v>
      </c>
      <c r="J23" s="24" t="n">
        <f aca="false">IF(TPBasis="NI TP",IF(H23&gt;0,H23,I23),G23)</f>
        <v>8.66754079254079</v>
      </c>
      <c r="K23" s="26" t="n">
        <f aca="false">IFERROR(F23/D23,0)</f>
        <v>0.165014089156655</v>
      </c>
      <c r="L23" s="27" t="n">
        <f aca="false">IFERROR(D23/E23,0)</f>
        <v>4053.75367647059</v>
      </c>
      <c r="M23" s="28" t="n">
        <f aca="false">IFERROR('District Data'!L23/'District Data'!K23-1,0)</f>
        <v>0.036142670925557</v>
      </c>
      <c r="N23" s="28" t="n">
        <f aca="false">IFERROR(('District Data'!L23/'District Data'!J23)^(1/2)-1,0)</f>
        <v>0.0401059005973146</v>
      </c>
      <c r="O23" s="28" t="n">
        <f aca="false">IFERROR('District Data'!I23/'District Data'!H23-1,0)</f>
        <v>0.114754098360656</v>
      </c>
      <c r="P23" s="7" t="str">
        <f aca="false">IF(K23&gt;=PCC_L1,"Layer 01",IF(K23&gt;=PCC_L2,"Layer 02",IF(K23&gt;=PCC_L3,"Layer 03",IF(K23&gt;=PCC_L4,"Layer 04","Layer 05"))))</f>
        <v>Layer 05</v>
      </c>
      <c r="Q23" s="7" t="str">
        <f aca="false">IF(L23&gt;=PPO_L1,"Layer 01",IF(L23&gt;=PPO_L2,"Layer 02",IF(L23&gt;=PPO_L3,"Layer 03",IF(L23&gt;=PPO_L4,"Layer 04","Layer 05"))))</f>
        <v>Layer 03</v>
      </c>
      <c r="R23" s="29" t="n">
        <f aca="false">D23/IdealPPO-E23</f>
        <v>1198.16133333333</v>
      </c>
      <c r="S23" s="29" t="n">
        <f aca="false">IdealTP*Weeks-(Weeks*J23+FirstFill)</f>
        <v>249.287878787879</v>
      </c>
      <c r="T23" s="29" t="n">
        <f aca="false">IF(S23&gt;0,(F23-IdealTP*Weeks*E23)/S23,1000000000000)</f>
        <v>-121.193217042485</v>
      </c>
      <c r="U23" s="27" t="n">
        <f aca="false">IF(E23&lt;=0,0,IF(G23&lt;=IdealTP,0,IF(L23&lt;=IdealPPO,0,INT(MIN(T23,R23)+0.000000001))))</f>
        <v>0</v>
      </c>
      <c r="V23" s="7" t="str">
        <f aca="false">IF(E23&lt;=0,"No current outlets",IF(G23&lt;=IdealTP,"TP already at or below ideal",IF(L23&lt;=IdealPPO,"PPO already at or below ideal",IF(T23&lt;=R23,"Stopped by TP reaching ideal","Stopped by PPO reaching ideal"))))</f>
        <v>TP already at or below ideal</v>
      </c>
      <c r="W23" s="30" t="n">
        <f aca="false">F23+U23*(Weeks*J23+FirstFill)</f>
        <v>181948</v>
      </c>
      <c r="X23" s="30" t="n">
        <f aca="false">E23+U23</f>
        <v>272</v>
      </c>
      <c r="Y23" s="24" t="n">
        <f aca="false">IFERROR(W23/(X23*Weeks),0)</f>
        <v>12.8639705882353</v>
      </c>
      <c r="Z23" s="30" t="n">
        <f aca="false">IFERROR(D23/X23,0)</f>
        <v>4053.75367647059</v>
      </c>
      <c r="AA23" s="7" t="str">
        <f aca="false">IF(AND(K23&gt;=NationalPCC,L23&gt;IdealPPO),"Q1: High PCC, High PPO",IF(K23&gt;=NationalPCC,"Q2: High PCC, Low PPO",IF(L23&gt;IdealPPO,"Q3: Low PCC, High PPO","Q4: Low PCC, Low PPO")))</f>
        <v>Q3: Low PCC, High PPO</v>
      </c>
      <c r="AB23" s="7" t="str">
        <f aca="false">IF(K23&gt;=NationalPCC,IF(L23&gt;IdealPPO,"Phase 1","Phase 2"),"Phase 3")</f>
        <v>Phase 3</v>
      </c>
      <c r="AC23" s="7" t="str">
        <f aca="false">IF(AND(G23&gt;IdealTP,L23&gt;IdealPPO),"High TP, High PPO",IF(G23&gt;IdealTP,"High TP, Low PPO",IF(L23&gt;IdealPPO,"Low TP, High PPO","Low TP, Low PPO")))</f>
        <v>Low TP, High PPO</v>
      </c>
      <c r="AD23" s="31" t="n">
        <f aca="false">INDEX(WaveNumbers,MATCH(C23,WaveNames,0))</f>
        <v>2</v>
      </c>
      <c r="AE23" s="32" t="str">
        <f aca="false">IF(U23&gt;0,AD23*10000000+VALUE(RIGHT(AB23,1))*1000000+(1000000-U23)+ROW()/1000000,"")</f>
        <v/>
      </c>
      <c r="AF23" s="31" t="str">
        <f aca="false">IF(U23&gt;0,COUNTIFS($AE$5:$AE$119,"&lt;"&amp;AE23)+1,"")</f>
        <v/>
      </c>
      <c r="AG23" s="7" t="str">
        <f aca="false">IF(AF23="","No",IF(AF23&lt;=TopN,"Yes","No"))</f>
        <v>No</v>
      </c>
      <c r="AH23" s="30" t="n">
        <f aca="false">INT('District Data'!O23*ConvRate)</f>
        <v>66</v>
      </c>
      <c r="AI23" s="27" t="n">
        <f aca="false">MIN(U23,AH23)</f>
        <v>0</v>
      </c>
      <c r="AJ23" s="7" t="str">
        <f aca="false">IF(U23=0,"No expansion",IF(AH23&lt;U23,"Supply constrained (not enough shops)","Demand constrained (enough shops)"))</f>
        <v>No expansion</v>
      </c>
      <c r="AK23" s="30" t="n">
        <f aca="false">IF(AG23="Yes",AI23,0)</f>
        <v>0</v>
      </c>
      <c r="AL23" s="26" t="n">
        <f aca="false">IF(AG23="Yes",IF(Budget1&gt;=ShortlistFinal,AK23,AK23/ShortlistFinal*Budget1),0)</f>
        <v>0</v>
      </c>
      <c r="AM23" s="30" t="n">
        <f aca="false">INT(AL23)</f>
        <v>0</v>
      </c>
      <c r="AN23" s="26" t="n">
        <f aca="false">IF(AND(AG23="Yes",Budget1&lt;ShortlistFinal),AL23-AM23,-1)</f>
        <v>-1</v>
      </c>
      <c r="AO23" s="27" t="n">
        <f aca="false">IF(AG23&lt;&gt;"Yes",0,IF(Budget1&gt;=ShortlistFinal,AK23,AM23+IF(COUNTIFS($AN$5:$AN$119,"&gt;"&amp;AN23)+COUNTIFS($AN$5:$AN$119,AN23,$AF$5:$AF$119,"&lt;"&amp;AF23)&lt;Budget1-SUM($AM$5:$AM$119),1,0)))</f>
        <v>0</v>
      </c>
      <c r="AP23" s="26" t="n">
        <f aca="false">IF(AG23="Yes",IF(Budget2&gt;=ShortlistFinal,AK23,AK23/ShortlistFinal*Budget2),0)</f>
        <v>0</v>
      </c>
      <c r="AQ23" s="30" t="n">
        <f aca="false">INT(AP23)</f>
        <v>0</v>
      </c>
      <c r="AR23" s="26" t="n">
        <f aca="false">IF(AND(AG23="Yes",Budget2&lt;ShortlistFinal),AP23-AQ23,-1)</f>
        <v>-1</v>
      </c>
      <c r="AS23" s="27" t="n">
        <f aca="false">IF(AG23&lt;&gt;"Yes",0,IF(Budget2&gt;=ShortlistFinal,AK23,AQ23+IF(COUNTIFS($AR$5:$AR$119,"&gt;"&amp;AR23)+COUNTIFS($AR$5:$AR$119,AR23,$AF$5:$AF$119,"&lt;"&amp;AF23)&lt;Budget2-SUM($AQ$5:$AQ$119),1,0)))</f>
        <v>0</v>
      </c>
      <c r="AT23" s="26" t="n">
        <f aca="false">AK23*Share2025</f>
        <v>0</v>
      </c>
      <c r="AU23" s="26" t="n">
        <f aca="false">AK23*Share2026</f>
        <v>0</v>
      </c>
      <c r="AV23" s="26" t="n">
        <f aca="false">AK23*Share2027</f>
        <v>0</v>
      </c>
      <c r="AW23" s="31" t="n">
        <f aca="false">INT(AT23)</f>
        <v>0</v>
      </c>
      <c r="AX23" s="31" t="n">
        <f aca="false">INT(AU23)</f>
        <v>0</v>
      </c>
      <c r="AY23" s="31" t="n">
        <f aca="false">INT(AV23)</f>
        <v>0</v>
      </c>
      <c r="AZ23" s="26" t="n">
        <f aca="false">AT23-AW23</f>
        <v>0</v>
      </c>
      <c r="BA23" s="26" t="n">
        <f aca="false">AU23-AX23</f>
        <v>0</v>
      </c>
      <c r="BB23" s="26" t="n">
        <f aca="false">AV23-AY23</f>
        <v>0</v>
      </c>
      <c r="BC23" s="31" t="n">
        <f aca="false">AK23-AW23-AX23-AY23</f>
        <v>0</v>
      </c>
      <c r="BD23" s="27" t="n">
        <f aca="false">AW23+IF((BA23&gt;AZ23)+(BB23&gt;AZ23)&lt;BC23,1,0)</f>
        <v>0</v>
      </c>
      <c r="BE23" s="27" t="n">
        <f aca="false">AX23+IF((AZ23&gt;BA23)+(BB23&gt;BA23)+(AZ23=BA23)&lt;BC23,1,0)</f>
        <v>0</v>
      </c>
      <c r="BF23" s="27" t="n">
        <f aca="false">AY23+IF((AZ23&gt;BB23)+(BA23&gt;BB23)+(AZ23=BB23)+(BA23=BB23)&lt;BC23,1,0)</f>
        <v>0</v>
      </c>
    </row>
    <row r="24" customFormat="false" ht="15" hidden="false" customHeight="false" outlineLevel="0" collapsed="false">
      <c r="A24" s="22" t="str">
        <f aca="false">'District Data'!A24</f>
        <v>Dera Ismail Khan</v>
      </c>
      <c r="B24" s="22" t="str">
        <f aca="false">'District Data'!C24</f>
        <v>Multan Region</v>
      </c>
      <c r="C24" s="22" t="str">
        <f aca="false">'District Data'!D24</f>
        <v>Rest</v>
      </c>
      <c r="D24" s="23" t="n">
        <f aca="false">ROUND('District Data'!E24*'District Data'!F24,0)</f>
        <v>463391</v>
      </c>
      <c r="E24" s="23" t="n">
        <f aca="false">'District Data'!I24</f>
        <v>78</v>
      </c>
      <c r="F24" s="23" t="n">
        <f aca="false">'District Data'!L24</f>
        <v>64321.5</v>
      </c>
      <c r="G24" s="24" t="n">
        <f aca="false">IFERROR(F24/(E24*Weeks),0)</f>
        <v>15.8583579881657</v>
      </c>
      <c r="H24" s="25" t="n">
        <f aca="false">IFERROR('District Data'!N24/('District Data'!M24*Weeks),0)</f>
        <v>15.090625</v>
      </c>
      <c r="I24" s="24" t="n">
        <f aca="false">IFERROR(SUMIFS('District Data'!$N$5:$N$119,'District Data'!$C$5:$C$119,B24)/(SUMIFS('District Data'!$M$5:$M$119,'District Data'!$C$5:$C$119,B24)*Weeks),0)</f>
        <v>8.16663285109386</v>
      </c>
      <c r="J24" s="24" t="n">
        <f aca="false">IF(TPBasis="NI TP",IF(H24&gt;0,H24,I24),G24)</f>
        <v>15.090625</v>
      </c>
      <c r="K24" s="26" t="n">
        <f aca="false">IFERROR(F24/D24,0)</f>
        <v>0.138806105427166</v>
      </c>
      <c r="L24" s="27" t="n">
        <f aca="false">IFERROR(D24/E24,0)</f>
        <v>5940.91025641026</v>
      </c>
      <c r="M24" s="28" t="n">
        <f aca="false">IFERROR('District Data'!L24/'District Data'!K24-1,0)</f>
        <v>0.0869120723509671</v>
      </c>
      <c r="N24" s="28" t="n">
        <f aca="false">IFERROR(('District Data'!L24/'District Data'!J24)^(1/2)-1,0)</f>
        <v>0.0838227398740639</v>
      </c>
      <c r="O24" s="28" t="n">
        <f aca="false">IFERROR('District Data'!I24/'District Data'!H24-1,0)</f>
        <v>0.0684931506849316</v>
      </c>
      <c r="P24" s="7" t="str">
        <f aca="false">IF(K24&gt;=PCC_L1,"Layer 01",IF(K24&gt;=PCC_L2,"Layer 02",IF(K24&gt;=PCC_L3,"Layer 03",IF(K24&gt;=PCC_L4,"Layer 04","Layer 05"))))</f>
        <v>Layer 05</v>
      </c>
      <c r="Q24" s="7" t="str">
        <f aca="false">IF(L24&gt;=PPO_L1,"Layer 01",IF(L24&gt;=PPO_L2,"Layer 02",IF(L24&gt;=PPO_L3,"Layer 03",IF(L24&gt;=PPO_L4,"Layer 04","Layer 05"))))</f>
        <v>Layer 03</v>
      </c>
      <c r="R24" s="29" t="n">
        <f aca="false">D24/IdealPPO-E24</f>
        <v>539.854666666667</v>
      </c>
      <c r="S24" s="29" t="n">
        <f aca="false">IdealTP*Weeks-(Weeks*J24+FirstFill)</f>
        <v>-84.7125</v>
      </c>
      <c r="T24" s="29" t="n">
        <f aca="false">IF(S24&gt;0,(F24-IdealTP*Weeks*E24)/S24,1000000000000)</f>
        <v>1000000000000</v>
      </c>
      <c r="U24" s="27" t="n">
        <f aca="false">IF(E24&lt;=0,0,IF(G24&lt;=IdealTP,0,IF(L24&lt;=IdealPPO,0,INT(MIN(T24,R24)+0.000000001))))</f>
        <v>539</v>
      </c>
      <c r="V24" s="7" t="str">
        <f aca="false">IF(E24&lt;=0,"No current outlets",IF(G24&lt;=IdealTP,"TP already at or below ideal",IF(L24&lt;=IdealPPO,"PPO already at or below ideal",IF(T24&lt;=R24,"Stopped by TP reaching ideal","Stopped by PPO reaching ideal"))))</f>
        <v>Stopped by PPO reaching ideal</v>
      </c>
      <c r="W24" s="30" t="n">
        <f aca="false">F24+U24*(Weeks*J24+FirstFill)</f>
        <v>530401.5375</v>
      </c>
      <c r="X24" s="30" t="n">
        <f aca="false">E24+U24</f>
        <v>617</v>
      </c>
      <c r="Y24" s="24" t="n">
        <f aca="false">IFERROR(W24/(X24*Weeks),0)</f>
        <v>16.5316524591697</v>
      </c>
      <c r="Z24" s="30" t="n">
        <f aca="false">IFERROR(D24/X24,0)</f>
        <v>751.038897893031</v>
      </c>
      <c r="AA24" s="7" t="str">
        <f aca="false">IF(AND(K24&gt;=NationalPCC,L24&gt;IdealPPO),"Q1: High PCC, High PPO",IF(K24&gt;=NationalPCC,"Q2: High PCC, Low PPO",IF(L24&gt;IdealPPO,"Q3: Low PCC, High PPO","Q4: Low PCC, Low PPO")))</f>
        <v>Q3: Low PCC, High PPO</v>
      </c>
      <c r="AB24" s="7" t="str">
        <f aca="false">IF(K24&gt;=NationalPCC,IF(L24&gt;IdealPPO,"Phase 1","Phase 2"),"Phase 3")</f>
        <v>Phase 3</v>
      </c>
      <c r="AC24" s="7" t="str">
        <f aca="false">IF(AND(G24&gt;IdealTP,L24&gt;IdealPPO),"High TP, High PPO",IF(G24&gt;IdealTP,"High TP, Low PPO",IF(L24&gt;IdealPPO,"Low TP, High PPO","Low TP, Low PPO")))</f>
        <v>High TP, High PPO</v>
      </c>
      <c r="AD24" s="31" t="n">
        <f aca="false">INDEX(WaveNumbers,MATCH(C24,WaveNames,0))</f>
        <v>4</v>
      </c>
      <c r="AE24" s="32" t="n">
        <f aca="false">IF(U24&gt;0,AD24*10000000+VALUE(RIGHT(AB24,1))*1000000+(1000000-U24)+ROW()/1000000,"")</f>
        <v>43999461.000024</v>
      </c>
      <c r="AF24" s="31" t="n">
        <f aca="false">IF(U24&gt;0,COUNTIFS($AE$5:$AE$119,"&lt;"&amp;AE24)+1,"")</f>
        <v>38</v>
      </c>
      <c r="AG24" s="7" t="str">
        <f aca="false">IF(AF24="","No",IF(AF24&lt;=TopN,"Yes","No"))</f>
        <v>Yes</v>
      </c>
      <c r="AH24" s="30" t="n">
        <f aca="false">INT('District Data'!O24*ConvRate)</f>
        <v>59</v>
      </c>
      <c r="AI24" s="27" t="n">
        <f aca="false">MIN(U24,AH24)</f>
        <v>59</v>
      </c>
      <c r="AJ24" s="7" t="str">
        <f aca="false">IF(U24=0,"No expansion",IF(AH24&lt;U24,"Supply constrained (not enough shops)","Demand constrained (enough shops)"))</f>
        <v>Supply constrained (not enough shops)</v>
      </c>
      <c r="AK24" s="30" t="n">
        <f aca="false">IF(AG24="Yes",AI24,0)</f>
        <v>59</v>
      </c>
      <c r="AL24" s="26" t="n">
        <f aca="false">IF(AG24="Yes",IF(Budget1&gt;=ShortlistFinal,AK24,AK24/ShortlistFinal*Budget1),0)</f>
        <v>34.8854397634886</v>
      </c>
      <c r="AM24" s="30" t="n">
        <f aca="false">INT(AL24)</f>
        <v>34</v>
      </c>
      <c r="AN24" s="26" t="n">
        <f aca="false">IF(AND(AG24="Yes",Budget1&lt;ShortlistFinal),AL24-AM24,-1)</f>
        <v>0.885439763488549</v>
      </c>
      <c r="AO24" s="27" t="n">
        <f aca="false">IF(AG24&lt;&gt;"Yes",0,IF(Budget1&gt;=ShortlistFinal,AK24,AM24+IF(COUNTIFS($AN$5:$AN$119,"&gt;"&amp;AN24)+COUNTIFS($AN$5:$AN$119,AN24,$AF$5:$AF$119,"&lt;"&amp;AF24)&lt;Budget1-SUM($AM$5:$AM$119),1,0)))</f>
        <v>35</v>
      </c>
      <c r="AP24" s="26" t="n">
        <f aca="false">IF(AG24="Yes",IF(Budget2&gt;=ShortlistFinal,AK24,AK24/ShortlistFinal*Budget2),0)</f>
        <v>52.3281596452328</v>
      </c>
      <c r="AQ24" s="30" t="n">
        <f aca="false">INT(AP24)</f>
        <v>52</v>
      </c>
      <c r="AR24" s="26" t="n">
        <f aca="false">IF(AND(AG24="Yes",Budget2&lt;ShortlistFinal),AP24-AQ24,-1)</f>
        <v>0.328159645232823</v>
      </c>
      <c r="AS24" s="27" t="n">
        <f aca="false">IF(AG24&lt;&gt;"Yes",0,IF(Budget2&gt;=ShortlistFinal,AK24,AQ24+IF(COUNTIFS($AR$5:$AR$119,"&gt;"&amp;AR24)+COUNTIFS($AR$5:$AR$119,AR24,$AF$5:$AF$119,"&lt;"&amp;AF24)&lt;Budget2-SUM($AQ$5:$AQ$119),1,0)))</f>
        <v>52</v>
      </c>
      <c r="AT24" s="26" t="n">
        <f aca="false">AK24*Share2025</f>
        <v>20.8235294117647</v>
      </c>
      <c r="AU24" s="26" t="n">
        <f aca="false">AK24*Share2026</f>
        <v>20.8235294117647</v>
      </c>
      <c r="AV24" s="26" t="n">
        <f aca="false">AK24*Share2027</f>
        <v>17.3529411764706</v>
      </c>
      <c r="AW24" s="31" t="n">
        <f aca="false">INT(AT24)</f>
        <v>20</v>
      </c>
      <c r="AX24" s="31" t="n">
        <f aca="false">INT(AU24)</f>
        <v>20</v>
      </c>
      <c r="AY24" s="31" t="n">
        <f aca="false">INT(AV24)</f>
        <v>17</v>
      </c>
      <c r="AZ24" s="26" t="n">
        <f aca="false">AT24-AW24</f>
        <v>0.82352941176471</v>
      </c>
      <c r="BA24" s="26" t="n">
        <f aca="false">AU24-AX24</f>
        <v>0.82352941176471</v>
      </c>
      <c r="BB24" s="26" t="n">
        <f aca="false">AV24-AY24</f>
        <v>0.352941176470587</v>
      </c>
      <c r="BC24" s="31" t="n">
        <f aca="false">AK24-AW24-AX24-AY24</f>
        <v>2</v>
      </c>
      <c r="BD24" s="27" t="n">
        <f aca="false">AW24+IF((BA24&gt;AZ24)+(BB24&gt;AZ24)&lt;BC24,1,0)</f>
        <v>21</v>
      </c>
      <c r="BE24" s="27" t="n">
        <f aca="false">AX24+IF((AZ24&gt;BA24)+(BB24&gt;BA24)+(AZ24=BA24)&lt;BC24,1,0)</f>
        <v>21</v>
      </c>
      <c r="BF24" s="27" t="n">
        <f aca="false">AY24+IF((AZ24&gt;BB24)+(BA24&gt;BB24)+(AZ24=BB24)+(BA24=BB24)&lt;BC24,1,0)</f>
        <v>17</v>
      </c>
    </row>
    <row r="25" customFormat="false" ht="15" hidden="false" customHeight="false" outlineLevel="0" collapsed="false">
      <c r="A25" s="22" t="str">
        <f aca="false">'District Data'!A25</f>
        <v>Faisalabad</v>
      </c>
      <c r="B25" s="22" t="str">
        <f aca="false">'District Data'!C25</f>
        <v>Lahore Region</v>
      </c>
      <c r="C25" s="22" t="str">
        <f aca="false">'District Data'!D25</f>
        <v>Stronghold</v>
      </c>
      <c r="D25" s="23" t="n">
        <f aca="false">ROUND('District Data'!E25*'District Data'!F25,0)</f>
        <v>3790953</v>
      </c>
      <c r="E25" s="23" t="n">
        <f aca="false">'District Data'!I25</f>
        <v>2113</v>
      </c>
      <c r="F25" s="23" t="n">
        <f aca="false">'District Data'!L25</f>
        <v>2648083.1</v>
      </c>
      <c r="G25" s="24" t="n">
        <f aca="false">IFERROR(F25/(E25*Weeks),0)</f>
        <v>24.1006507335542</v>
      </c>
      <c r="H25" s="25" t="n">
        <f aca="false">IFERROR('District Data'!N25/('District Data'!M25*Weeks),0)</f>
        <v>15.167982017982</v>
      </c>
      <c r="I25" s="24" t="n">
        <f aca="false">IFERROR(SUMIFS('District Data'!$N$5:$N$119,'District Data'!$C$5:$C$119,B25)/(SUMIFS('District Data'!$M$5:$M$119,'District Data'!$C$5:$C$119,B25)*Weeks),0)</f>
        <v>11.5536217630433</v>
      </c>
      <c r="J25" s="24" t="n">
        <f aca="false">IF(TPBasis="NI TP",IF(H25&gt;0,H25,I25),G25)</f>
        <v>15.167982017982</v>
      </c>
      <c r="K25" s="26" t="n">
        <f aca="false">IFERROR(F25/D25,0)</f>
        <v>0.698527019459223</v>
      </c>
      <c r="L25" s="27" t="n">
        <f aca="false">IFERROR(D25/E25,0)</f>
        <v>1794.1093232371</v>
      </c>
      <c r="M25" s="28" t="n">
        <f aca="false">IFERROR('District Data'!L25/'District Data'!K25-1,0)</f>
        <v>0.0334652716416077</v>
      </c>
      <c r="N25" s="28" t="n">
        <f aca="false">IFERROR(('District Data'!L25/'District Data'!J25)^(1/2)-1,0)</f>
        <v>0.0439097502877186</v>
      </c>
      <c r="O25" s="28" t="n">
        <f aca="false">IFERROR('District Data'!I25/'District Data'!H25-1,0)</f>
        <v>0.0747711088504577</v>
      </c>
      <c r="P25" s="7" t="str">
        <f aca="false">IF(K25&gt;=PCC_L1,"Layer 01",IF(K25&gt;=PCC_L2,"Layer 02",IF(K25&gt;=PCC_L3,"Layer 03",IF(K25&gt;=PCC_L4,"Layer 04","Layer 05"))))</f>
        <v>Layer 03</v>
      </c>
      <c r="Q25" s="7" t="str">
        <f aca="false">IF(L25&gt;=PPO_L1,"Layer 01",IF(L25&gt;=PPO_L2,"Layer 02",IF(L25&gt;=PPO_L3,"Layer 03",IF(L25&gt;=PPO_L4,"Layer 04","Layer 05"))))</f>
        <v>Layer 04</v>
      </c>
      <c r="R25" s="29" t="n">
        <f aca="false">D25/IdealPPO-E25</f>
        <v>2941.604</v>
      </c>
      <c r="S25" s="29" t="n">
        <f aca="false">IdealTP*Weeks-(Weeks*J25+FirstFill)</f>
        <v>-88.7350649350649</v>
      </c>
      <c r="T25" s="29" t="n">
        <f aca="false">IF(S25&gt;0,(F25-IdealTP*Weeks*E25)/S25,1000000000000)</f>
        <v>1000000000000</v>
      </c>
      <c r="U25" s="27" t="n">
        <f aca="false">IF(E25&lt;=0,0,IF(G25&lt;=IdealTP,0,IF(L25&lt;=IdealPPO,0,INT(MIN(T25,R25)+0.000000001))))</f>
        <v>2941</v>
      </c>
      <c r="V25" s="7" t="str">
        <f aca="false">IF(E25&lt;=0,"No current outlets",IF(G25&lt;=IdealTP,"TP already at or below ideal",IF(L25&lt;=IdealPPO,"PPO already at or below ideal",IF(T25&lt;=R25,"Stopped by TP reaching ideal","Stopped by PPO reaching ideal"))))</f>
        <v>Stopped by PPO reaching ideal</v>
      </c>
      <c r="W25" s="30" t="n">
        <f aca="false">F25+U25*(Weeks*J25+FirstFill)</f>
        <v>5203032.92597403</v>
      </c>
      <c r="X25" s="30" t="n">
        <f aca="false">E25+U25</f>
        <v>5054</v>
      </c>
      <c r="Y25" s="24" t="n">
        <f aca="false">IFERROR(W25/(X25*Weeks),0)</f>
        <v>19.7978483378513</v>
      </c>
      <c r="Z25" s="30" t="n">
        <f aca="false">IFERROR(D25/X25,0)</f>
        <v>750.089631974674</v>
      </c>
      <c r="AA25" s="7" t="str">
        <f aca="false">IF(AND(K25&gt;=NationalPCC,L25&gt;IdealPPO),"Q1: High PCC, High PPO",IF(K25&gt;=NationalPCC,"Q2: High PCC, Low PPO",IF(L25&gt;IdealPPO,"Q3: Low PCC, High PPO","Q4: Low PCC, Low PPO")))</f>
        <v>Q1: High PCC, High PPO</v>
      </c>
      <c r="AB25" s="7" t="str">
        <f aca="false">IF(K25&gt;=NationalPCC,IF(L25&gt;IdealPPO,"Phase 1","Phase 2"),"Phase 3")</f>
        <v>Phase 1</v>
      </c>
      <c r="AC25" s="7" t="str">
        <f aca="false">IF(AND(G25&gt;IdealTP,L25&gt;IdealPPO),"High TP, High PPO",IF(G25&gt;IdealTP,"High TP, Low PPO",IF(L25&gt;IdealPPO,"Low TP, High PPO","Low TP, Low PPO")))</f>
        <v>High TP, High PPO</v>
      </c>
      <c r="AD25" s="31" t="n">
        <f aca="false">INDEX(WaveNumbers,MATCH(C25,WaveNames,0))</f>
        <v>1</v>
      </c>
      <c r="AE25" s="32" t="n">
        <f aca="false">IF(U25&gt;0,AD25*10000000+VALUE(RIGHT(AB25,1))*1000000+(1000000-U25)+ROW()/1000000,"")</f>
        <v>11997059.000025</v>
      </c>
      <c r="AF25" s="31" t="n">
        <f aca="false">IF(U25&gt;0,COUNTIFS($AE$5:$AE$119,"&lt;"&amp;AE25)+1,"")</f>
        <v>2</v>
      </c>
      <c r="AG25" s="7" t="str">
        <f aca="false">IF(AF25="","No",IF(AF25&lt;=TopN,"Yes","No"))</f>
        <v>Yes</v>
      </c>
      <c r="AH25" s="30" t="n">
        <f aca="false">INT('District Data'!O25*ConvRate)</f>
        <v>400</v>
      </c>
      <c r="AI25" s="27" t="n">
        <f aca="false">MIN(U25,AH25)</f>
        <v>400</v>
      </c>
      <c r="AJ25" s="7" t="str">
        <f aca="false">IF(U25=0,"No expansion",IF(AH25&lt;U25,"Supply constrained (not enough shops)","Demand constrained (enough shops)"))</f>
        <v>Supply constrained (not enough shops)</v>
      </c>
      <c r="AK25" s="30" t="n">
        <f aca="false">IF(AG25="Yes",AI25,0)</f>
        <v>400</v>
      </c>
      <c r="AL25" s="26" t="n">
        <f aca="false">IF(AG25="Yes",IF(Budget1&gt;=ShortlistFinal,AK25,AK25/ShortlistFinal*Budget1),0)</f>
        <v>236.511456023651</v>
      </c>
      <c r="AM25" s="30" t="n">
        <f aca="false">INT(AL25)</f>
        <v>236</v>
      </c>
      <c r="AN25" s="26" t="n">
        <f aca="false">IF(AND(AG25="Yes",Budget1&lt;ShortlistFinal),AL25-AM25,-1)</f>
        <v>0.511456023651135</v>
      </c>
      <c r="AO25" s="27" t="n">
        <f aca="false">IF(AG25&lt;&gt;"Yes",0,IF(Budget1&gt;=ShortlistFinal,AK25,AM25+IF(COUNTIFS($AN$5:$AN$119,"&gt;"&amp;AN25)+COUNTIFS($AN$5:$AN$119,AN25,$AF$5:$AF$119,"&lt;"&amp;AF25)&lt;Budget1-SUM($AM$5:$AM$119),1,0)))</f>
        <v>236</v>
      </c>
      <c r="AP25" s="26" t="n">
        <f aca="false">IF(AG25="Yes",IF(Budget2&gt;=ShortlistFinal,AK25,AK25/ShortlistFinal*Budget2),0)</f>
        <v>354.767184035477</v>
      </c>
      <c r="AQ25" s="30" t="n">
        <f aca="false">INT(AP25)</f>
        <v>354</v>
      </c>
      <c r="AR25" s="26" t="n">
        <f aca="false">IF(AND(AG25="Yes",Budget2&lt;ShortlistFinal),AP25-AQ25,-1)</f>
        <v>0.767184035476703</v>
      </c>
      <c r="AS25" s="27" t="n">
        <f aca="false">IF(AG25&lt;&gt;"Yes",0,IF(Budget2&gt;=ShortlistFinal,AK25,AQ25+IF(COUNTIFS($AR$5:$AR$119,"&gt;"&amp;AR25)+COUNTIFS($AR$5:$AR$119,AR25,$AF$5:$AF$119,"&lt;"&amp;AF25)&lt;Budget2-SUM($AQ$5:$AQ$119),1,0)))</f>
        <v>355</v>
      </c>
      <c r="AT25" s="26" t="n">
        <f aca="false">AK25*Share2025</f>
        <v>141.176470588235</v>
      </c>
      <c r="AU25" s="26" t="n">
        <f aca="false">AK25*Share2026</f>
        <v>141.176470588235</v>
      </c>
      <c r="AV25" s="26" t="n">
        <f aca="false">AK25*Share2027</f>
        <v>117.647058823529</v>
      </c>
      <c r="AW25" s="31" t="n">
        <f aca="false">INT(AT25)</f>
        <v>141</v>
      </c>
      <c r="AX25" s="31" t="n">
        <f aca="false">INT(AU25)</f>
        <v>141</v>
      </c>
      <c r="AY25" s="31" t="n">
        <f aca="false">INT(AV25)</f>
        <v>117</v>
      </c>
      <c r="AZ25" s="26" t="n">
        <f aca="false">AT25-AW25</f>
        <v>0.176470588235333</v>
      </c>
      <c r="BA25" s="26" t="n">
        <f aca="false">AU25-AX25</f>
        <v>0.176470588235333</v>
      </c>
      <c r="BB25" s="26" t="n">
        <f aca="false">AV25-AY25</f>
        <v>0.647058823529392</v>
      </c>
      <c r="BC25" s="31" t="n">
        <f aca="false">AK25-AW25-AX25-AY25</f>
        <v>1</v>
      </c>
      <c r="BD25" s="27" t="n">
        <f aca="false">AW25+IF((BA25&gt;AZ25)+(BB25&gt;AZ25)&lt;BC25,1,0)</f>
        <v>141</v>
      </c>
      <c r="BE25" s="27" t="n">
        <f aca="false">AX25+IF((AZ25&gt;BA25)+(BB25&gt;BA25)+(AZ25=BA25)&lt;BC25,1,0)</f>
        <v>141</v>
      </c>
      <c r="BF25" s="27" t="n">
        <f aca="false">AY25+IF((AZ25&gt;BB25)+(BA25&gt;BB25)+(AZ25=BB25)+(BA25=BB25)&lt;BC25,1,0)</f>
        <v>118</v>
      </c>
    </row>
    <row r="26" customFormat="false" ht="15" hidden="false" customHeight="false" outlineLevel="0" collapsed="false">
      <c r="A26" s="22" t="str">
        <f aca="false">'District Data'!A26</f>
        <v>Ghotki</v>
      </c>
      <c r="B26" s="22" t="str">
        <f aca="false">'District Data'!C26</f>
        <v>Multan Region</v>
      </c>
      <c r="C26" s="22" t="str">
        <f aca="false">'District Data'!D26</f>
        <v>Rest</v>
      </c>
      <c r="D26" s="23" t="n">
        <f aca="false">ROUND('District Data'!E26*'District Data'!F26,0)</f>
        <v>473655</v>
      </c>
      <c r="E26" s="23" t="n">
        <f aca="false">'District Data'!I26</f>
        <v>28</v>
      </c>
      <c r="F26" s="23" t="n">
        <f aca="false">'District Data'!L26</f>
        <v>18393</v>
      </c>
      <c r="G26" s="24" t="n">
        <f aca="false">IFERROR(F26/(E26*Weeks),0)</f>
        <v>12.6325549450549</v>
      </c>
      <c r="H26" s="25" t="n">
        <f aca="false">IFERROR('District Data'!N26/('District Data'!M26*Weeks),0)</f>
        <v>9.35673076923077</v>
      </c>
      <c r="I26" s="24" t="n">
        <f aca="false">IFERROR(SUMIFS('District Data'!$N$5:$N$119,'District Data'!$C$5:$C$119,B26)/(SUMIFS('District Data'!$M$5:$M$119,'District Data'!$C$5:$C$119,B26)*Weeks),0)</f>
        <v>8.16663285109386</v>
      </c>
      <c r="J26" s="24" t="n">
        <f aca="false">IF(TPBasis="NI TP",IF(H26&gt;0,H26,I26),G26)</f>
        <v>9.35673076923077</v>
      </c>
      <c r="K26" s="26" t="n">
        <f aca="false">IFERROR(F26/D26,0)</f>
        <v>0.0388320613104475</v>
      </c>
      <c r="L26" s="27" t="n">
        <f aca="false">IFERROR(D26/E26,0)</f>
        <v>16916.25</v>
      </c>
      <c r="M26" s="28" t="n">
        <f aca="false">IFERROR('District Data'!L26/'District Data'!K26-1,0)</f>
        <v>0.0142545975902286</v>
      </c>
      <c r="N26" s="28" t="n">
        <f aca="false">IFERROR(('District Data'!L26/'District Data'!J26)^(1/2)-1,0)</f>
        <v>0.0184192666650633</v>
      </c>
      <c r="O26" s="28" t="n">
        <f aca="false">IFERROR('District Data'!I26/'District Data'!H26-1,0)</f>
        <v>0.12</v>
      </c>
      <c r="P26" s="7" t="str">
        <f aca="false">IF(K26&gt;=PCC_L1,"Layer 01",IF(K26&gt;=PCC_L2,"Layer 02",IF(K26&gt;=PCC_L3,"Layer 03",IF(K26&gt;=PCC_L4,"Layer 04","Layer 05"))))</f>
        <v>Layer 05</v>
      </c>
      <c r="Q26" s="7" t="str">
        <f aca="false">IF(L26&gt;=PPO_L1,"Layer 01",IF(L26&gt;=PPO_L2,"Layer 02",IF(L26&gt;=PPO_L3,"Layer 03",IF(L26&gt;=PPO_L4,"Layer 04","Layer 05"))))</f>
        <v>Layer 02</v>
      </c>
      <c r="R26" s="29" t="n">
        <f aca="false">D26/IdealPPO-E26</f>
        <v>603.54</v>
      </c>
      <c r="S26" s="29" t="n">
        <f aca="false">IdealTP*Weeks-(Weeks*J26+FirstFill)</f>
        <v>213.45</v>
      </c>
      <c r="T26" s="29" t="n">
        <f aca="false">IF(S26&gt;0,(F26-IdealTP*Weeks*E26)/S26,1000000000000)</f>
        <v>-16.1489810260014</v>
      </c>
      <c r="U26" s="27" t="n">
        <f aca="false">IF(E26&lt;=0,0,IF(G26&lt;=IdealTP,0,IF(L26&lt;=IdealPPO,0,INT(MIN(T26,R26)+0.000000001))))</f>
        <v>0</v>
      </c>
      <c r="V26" s="7" t="str">
        <f aca="false">IF(E26&lt;=0,"No current outlets",IF(G26&lt;=IdealTP,"TP already at or below ideal",IF(L26&lt;=IdealPPO,"PPO already at or below ideal",IF(T26&lt;=R26,"Stopped by TP reaching ideal","Stopped by PPO reaching ideal"))))</f>
        <v>TP already at or below ideal</v>
      </c>
      <c r="W26" s="30" t="n">
        <f aca="false">F26+U26*(Weeks*J26+FirstFill)</f>
        <v>18393</v>
      </c>
      <c r="X26" s="30" t="n">
        <f aca="false">E26+U26</f>
        <v>28</v>
      </c>
      <c r="Y26" s="24" t="n">
        <f aca="false">IFERROR(W26/(X26*Weeks),0)</f>
        <v>12.6325549450549</v>
      </c>
      <c r="Z26" s="30" t="n">
        <f aca="false">IFERROR(D26/X26,0)</f>
        <v>16916.25</v>
      </c>
      <c r="AA26" s="7" t="str">
        <f aca="false">IF(AND(K26&gt;=NationalPCC,L26&gt;IdealPPO),"Q1: High PCC, High PPO",IF(K26&gt;=NationalPCC,"Q2: High PCC, Low PPO",IF(L26&gt;IdealPPO,"Q3: Low PCC, High PPO","Q4: Low PCC, Low PPO")))</f>
        <v>Q3: Low PCC, High PPO</v>
      </c>
      <c r="AB26" s="7" t="str">
        <f aca="false">IF(K26&gt;=NationalPCC,IF(L26&gt;IdealPPO,"Phase 1","Phase 2"),"Phase 3")</f>
        <v>Phase 3</v>
      </c>
      <c r="AC26" s="7" t="str">
        <f aca="false">IF(AND(G26&gt;IdealTP,L26&gt;IdealPPO),"High TP, High PPO",IF(G26&gt;IdealTP,"High TP, Low PPO",IF(L26&gt;IdealPPO,"Low TP, High PPO","Low TP, Low PPO")))</f>
        <v>Low TP, High PPO</v>
      </c>
      <c r="AD26" s="31" t="n">
        <f aca="false">INDEX(WaveNumbers,MATCH(C26,WaveNames,0))</f>
        <v>4</v>
      </c>
      <c r="AE26" s="32" t="str">
        <f aca="false">IF(U26&gt;0,AD26*10000000+VALUE(RIGHT(AB26,1))*1000000+(1000000-U26)+ROW()/1000000,"")</f>
        <v/>
      </c>
      <c r="AF26" s="31" t="str">
        <f aca="false">IF(U26&gt;0,COUNTIFS($AE$5:$AE$119,"&lt;"&amp;AE26)+1,"")</f>
        <v/>
      </c>
      <c r="AG26" s="7" t="str">
        <f aca="false">IF(AF26="","No",IF(AF26&lt;=TopN,"Yes","No"))</f>
        <v>No</v>
      </c>
      <c r="AH26" s="30" t="n">
        <f aca="false">INT('District Data'!O26*ConvRate)</f>
        <v>25</v>
      </c>
      <c r="AI26" s="27" t="n">
        <f aca="false">MIN(U26,AH26)</f>
        <v>0</v>
      </c>
      <c r="AJ26" s="7" t="str">
        <f aca="false">IF(U26=0,"No expansion",IF(AH26&lt;U26,"Supply constrained (not enough shops)","Demand constrained (enough shops)"))</f>
        <v>No expansion</v>
      </c>
      <c r="AK26" s="30" t="n">
        <f aca="false">IF(AG26="Yes",AI26,0)</f>
        <v>0</v>
      </c>
      <c r="AL26" s="26" t="n">
        <f aca="false">IF(AG26="Yes",IF(Budget1&gt;=ShortlistFinal,AK26,AK26/ShortlistFinal*Budget1),0)</f>
        <v>0</v>
      </c>
      <c r="AM26" s="30" t="n">
        <f aca="false">INT(AL26)</f>
        <v>0</v>
      </c>
      <c r="AN26" s="26" t="n">
        <f aca="false">IF(AND(AG26="Yes",Budget1&lt;ShortlistFinal),AL26-AM26,-1)</f>
        <v>-1</v>
      </c>
      <c r="AO26" s="27" t="n">
        <f aca="false">IF(AG26&lt;&gt;"Yes",0,IF(Budget1&gt;=ShortlistFinal,AK26,AM26+IF(COUNTIFS($AN$5:$AN$119,"&gt;"&amp;AN26)+COUNTIFS($AN$5:$AN$119,AN26,$AF$5:$AF$119,"&lt;"&amp;AF26)&lt;Budget1-SUM($AM$5:$AM$119),1,0)))</f>
        <v>0</v>
      </c>
      <c r="AP26" s="26" t="n">
        <f aca="false">IF(AG26="Yes",IF(Budget2&gt;=ShortlistFinal,AK26,AK26/ShortlistFinal*Budget2),0)</f>
        <v>0</v>
      </c>
      <c r="AQ26" s="30" t="n">
        <f aca="false">INT(AP26)</f>
        <v>0</v>
      </c>
      <c r="AR26" s="26" t="n">
        <f aca="false">IF(AND(AG26="Yes",Budget2&lt;ShortlistFinal),AP26-AQ26,-1)</f>
        <v>-1</v>
      </c>
      <c r="AS26" s="27" t="n">
        <f aca="false">IF(AG26&lt;&gt;"Yes",0,IF(Budget2&gt;=ShortlistFinal,AK26,AQ26+IF(COUNTIFS($AR$5:$AR$119,"&gt;"&amp;AR26)+COUNTIFS($AR$5:$AR$119,AR26,$AF$5:$AF$119,"&lt;"&amp;AF26)&lt;Budget2-SUM($AQ$5:$AQ$119),1,0)))</f>
        <v>0</v>
      </c>
      <c r="AT26" s="26" t="n">
        <f aca="false">AK26*Share2025</f>
        <v>0</v>
      </c>
      <c r="AU26" s="26" t="n">
        <f aca="false">AK26*Share2026</f>
        <v>0</v>
      </c>
      <c r="AV26" s="26" t="n">
        <f aca="false">AK26*Share2027</f>
        <v>0</v>
      </c>
      <c r="AW26" s="31" t="n">
        <f aca="false">INT(AT26)</f>
        <v>0</v>
      </c>
      <c r="AX26" s="31" t="n">
        <f aca="false">INT(AU26)</f>
        <v>0</v>
      </c>
      <c r="AY26" s="31" t="n">
        <f aca="false">INT(AV26)</f>
        <v>0</v>
      </c>
      <c r="AZ26" s="26" t="n">
        <f aca="false">AT26-AW26</f>
        <v>0</v>
      </c>
      <c r="BA26" s="26" t="n">
        <f aca="false">AU26-AX26</f>
        <v>0</v>
      </c>
      <c r="BB26" s="26" t="n">
        <f aca="false">AV26-AY26</f>
        <v>0</v>
      </c>
      <c r="BC26" s="31" t="n">
        <f aca="false">AK26-AW26-AX26-AY26</f>
        <v>0</v>
      </c>
      <c r="BD26" s="27" t="n">
        <f aca="false">AW26+IF((BA26&gt;AZ26)+(BB26&gt;AZ26)&lt;BC26,1,0)</f>
        <v>0</v>
      </c>
      <c r="BE26" s="27" t="n">
        <f aca="false">AX26+IF((AZ26&gt;BA26)+(BB26&gt;BA26)+(AZ26=BA26)&lt;BC26,1,0)</f>
        <v>0</v>
      </c>
      <c r="BF26" s="27" t="n">
        <f aca="false">AY26+IF((AZ26&gt;BB26)+(BA26&gt;BB26)+(AZ26=BB26)+(BA26=BB26)&lt;BC26,1,0)</f>
        <v>0</v>
      </c>
    </row>
    <row r="27" customFormat="false" ht="15" hidden="false" customHeight="false" outlineLevel="0" collapsed="false">
      <c r="A27" s="22" t="str">
        <f aca="false">'District Data'!A27</f>
        <v>Gujranwala</v>
      </c>
      <c r="B27" s="22" t="str">
        <f aca="false">'District Data'!C27</f>
        <v>Lahore Region</v>
      </c>
      <c r="C27" s="22" t="str">
        <f aca="false">'District Data'!D27</f>
        <v>Stronghold</v>
      </c>
      <c r="D27" s="23" t="n">
        <f aca="false">ROUND('District Data'!E27*'District Data'!F27,0)</f>
        <v>2926152</v>
      </c>
      <c r="E27" s="23" t="n">
        <f aca="false">'District Data'!I27</f>
        <v>2722</v>
      </c>
      <c r="F27" s="23" t="n">
        <f aca="false">'District Data'!L27</f>
        <v>3231103.3</v>
      </c>
      <c r="G27" s="24" t="n">
        <f aca="false">IFERROR(F27/(E27*Weeks),0)</f>
        <v>22.8275539761488</v>
      </c>
      <c r="H27" s="25" t="n">
        <f aca="false">IFERROR('District Data'!N27/('District Data'!M27*Weeks),0)</f>
        <v>14.6265932287777</v>
      </c>
      <c r="I27" s="24" t="n">
        <f aca="false">IFERROR(SUMIFS('District Data'!$N$5:$N$119,'District Data'!$C$5:$C$119,B27)/(SUMIFS('District Data'!$M$5:$M$119,'District Data'!$C$5:$C$119,B27)*Weeks),0)</f>
        <v>11.5536217630433</v>
      </c>
      <c r="J27" s="24" t="n">
        <f aca="false">IF(TPBasis="NI TP",IF(H27&gt;0,H27,I27),G27)</f>
        <v>14.6265932287777</v>
      </c>
      <c r="K27" s="26" t="n">
        <f aca="false">IFERROR(F27/D27,0)</f>
        <v>1.10421580970503</v>
      </c>
      <c r="L27" s="27" t="n">
        <f aca="false">IFERROR(D27/E27,0)</f>
        <v>1075.00073475386</v>
      </c>
      <c r="M27" s="28" t="n">
        <f aca="false">IFERROR('District Data'!L27/'District Data'!K27-1,0)</f>
        <v>0.0184436742848293</v>
      </c>
      <c r="N27" s="28" t="n">
        <f aca="false">IFERROR(('District Data'!L27/'District Data'!J27)^(1/2)-1,0)</f>
        <v>0.0185560556480608</v>
      </c>
      <c r="O27" s="28" t="n">
        <f aca="false">IFERROR('District Data'!I27/'District Data'!H27-1,0)</f>
        <v>0.0788743559254856</v>
      </c>
      <c r="P27" s="7" t="str">
        <f aca="false">IF(K27&gt;=PCC_L1,"Layer 01",IF(K27&gt;=PCC_L2,"Layer 02",IF(K27&gt;=PCC_L3,"Layer 03",IF(K27&gt;=PCC_L4,"Layer 04","Layer 05"))))</f>
        <v>Layer 02</v>
      </c>
      <c r="Q27" s="7" t="str">
        <f aca="false">IF(L27&gt;=PPO_L1,"Layer 01",IF(L27&gt;=PPO_L2,"Layer 02",IF(L27&gt;=PPO_L3,"Layer 03",IF(L27&gt;=PPO_L4,"Layer 04","Layer 05"))))</f>
        <v>Layer 05</v>
      </c>
      <c r="R27" s="29" t="n">
        <f aca="false">D27/IdealPPO-E27</f>
        <v>1179.536</v>
      </c>
      <c r="S27" s="29" t="n">
        <f aca="false">IdealTP*Weeks-(Weeks*J27+FirstFill)</f>
        <v>-60.5828478964402</v>
      </c>
      <c r="T27" s="29" t="n">
        <f aca="false">IF(S27&gt;0,(F27-IdealTP*Weeks*E27)/S27,1000000000000)</f>
        <v>1000000000000</v>
      </c>
      <c r="U27" s="27" t="n">
        <f aca="false">IF(E27&lt;=0,0,IF(G27&lt;=IdealTP,0,IF(L27&lt;=IdealPPO,0,INT(MIN(T27,R27)+0.000000001))))</f>
        <v>1179</v>
      </c>
      <c r="V27" s="7" t="str">
        <f aca="false">IF(E27&lt;=0,"No current outlets",IF(G27&lt;=IdealTP,"TP already at or below ideal",IF(L27&lt;=IdealPPO,"PPO already at or below ideal",IF(T27&lt;=R27,"Stopped by TP reaching ideal","Stopped by PPO reaching ideal"))))</f>
        <v>Stopped by PPO reaching ideal</v>
      </c>
      <c r="W27" s="30" t="n">
        <f aca="false">F27+U27*(Weeks*J27+FirstFill)</f>
        <v>4222150.4776699</v>
      </c>
      <c r="X27" s="30" t="n">
        <f aca="false">E27+U27</f>
        <v>3901</v>
      </c>
      <c r="Y27" s="24" t="n">
        <f aca="false">IFERROR(W27/(X27*Weeks),0)</f>
        <v>20.8139455251607</v>
      </c>
      <c r="Z27" s="30" t="n">
        <f aca="false">IFERROR(D27/X27,0)</f>
        <v>750.103050499872</v>
      </c>
      <c r="AA27" s="7" t="str">
        <f aca="false">IF(AND(K27&gt;=NationalPCC,L27&gt;IdealPPO),"Q1: High PCC, High PPO",IF(K27&gt;=NationalPCC,"Q2: High PCC, Low PPO",IF(L27&gt;IdealPPO,"Q3: Low PCC, High PPO","Q4: Low PCC, Low PPO")))</f>
        <v>Q1: High PCC, High PPO</v>
      </c>
      <c r="AB27" s="7" t="str">
        <f aca="false">IF(K27&gt;=NationalPCC,IF(L27&gt;IdealPPO,"Phase 1","Phase 2"),"Phase 3")</f>
        <v>Phase 1</v>
      </c>
      <c r="AC27" s="7" t="str">
        <f aca="false">IF(AND(G27&gt;IdealTP,L27&gt;IdealPPO),"High TP, High PPO",IF(G27&gt;IdealTP,"High TP, Low PPO",IF(L27&gt;IdealPPO,"Low TP, High PPO","Low TP, Low PPO")))</f>
        <v>High TP, High PPO</v>
      </c>
      <c r="AD27" s="31" t="n">
        <f aca="false">INDEX(WaveNumbers,MATCH(C27,WaveNames,0))</f>
        <v>1</v>
      </c>
      <c r="AE27" s="32" t="n">
        <f aca="false">IF(U27&gt;0,AD27*10000000+VALUE(RIGHT(AB27,1))*1000000+(1000000-U27)+ROW()/1000000,"")</f>
        <v>11998821.000027</v>
      </c>
      <c r="AF27" s="31" t="n">
        <f aca="false">IF(U27&gt;0,COUNTIFS($AE$5:$AE$119,"&lt;"&amp;AE27)+1,"")</f>
        <v>4</v>
      </c>
      <c r="AG27" s="7" t="str">
        <f aca="false">IF(AF27="","No",IF(AF27&lt;=TopN,"Yes","No"))</f>
        <v>Yes</v>
      </c>
      <c r="AH27" s="30" t="n">
        <f aca="false">INT('District Data'!O27*ConvRate)</f>
        <v>464</v>
      </c>
      <c r="AI27" s="27" t="n">
        <f aca="false">MIN(U27,AH27)</f>
        <v>464</v>
      </c>
      <c r="AJ27" s="7" t="str">
        <f aca="false">IF(U27=0,"No expansion",IF(AH27&lt;U27,"Supply constrained (not enough shops)","Demand constrained (enough shops)"))</f>
        <v>Supply constrained (not enough shops)</v>
      </c>
      <c r="AK27" s="30" t="n">
        <f aca="false">IF(AG27="Yes",AI27,0)</f>
        <v>464</v>
      </c>
      <c r="AL27" s="26" t="n">
        <f aca="false">IF(AG27="Yes",IF(Budget1&gt;=ShortlistFinal,AK27,AK27/ShortlistFinal*Budget1),0)</f>
        <v>274.353288987435</v>
      </c>
      <c r="AM27" s="30" t="n">
        <f aca="false">INT(AL27)</f>
        <v>274</v>
      </c>
      <c r="AN27" s="26" t="n">
        <f aca="false">IF(AND(AG27="Yes",Budget1&lt;ShortlistFinal),AL27-AM27,-1)</f>
        <v>0.353288987435349</v>
      </c>
      <c r="AO27" s="27" t="n">
        <f aca="false">IF(AG27&lt;&gt;"Yes",0,IF(Budget1&gt;=ShortlistFinal,AK27,AM27+IF(COUNTIFS($AN$5:$AN$119,"&gt;"&amp;AN27)+COUNTIFS($AN$5:$AN$119,AN27,$AF$5:$AF$119,"&lt;"&amp;AF27)&lt;Budget1-SUM($AM$5:$AM$119),1,0)))</f>
        <v>274</v>
      </c>
      <c r="AP27" s="26" t="n">
        <f aca="false">IF(AG27="Yes",IF(Budget2&gt;=ShortlistFinal,AK27,AK27/ShortlistFinal*Budget2),0)</f>
        <v>411.529933481153</v>
      </c>
      <c r="AQ27" s="30" t="n">
        <f aca="false">INT(AP27)</f>
        <v>411</v>
      </c>
      <c r="AR27" s="26" t="n">
        <f aca="false">IF(AND(AG27="Yes",Budget2&lt;ShortlistFinal),AP27-AQ27,-1)</f>
        <v>0.529933481152966</v>
      </c>
      <c r="AS27" s="27" t="n">
        <f aca="false">IF(AG27&lt;&gt;"Yes",0,IF(Budget2&gt;=ShortlistFinal,AK27,AQ27+IF(COUNTIFS($AR$5:$AR$119,"&gt;"&amp;AR27)+COUNTIFS($AR$5:$AR$119,AR27,$AF$5:$AF$119,"&lt;"&amp;AF27)&lt;Budget2-SUM($AQ$5:$AQ$119),1,0)))</f>
        <v>411</v>
      </c>
      <c r="AT27" s="26" t="n">
        <f aca="false">AK27*Share2025</f>
        <v>163.764705882353</v>
      </c>
      <c r="AU27" s="26" t="n">
        <f aca="false">AK27*Share2026</f>
        <v>163.764705882353</v>
      </c>
      <c r="AV27" s="26" t="n">
        <f aca="false">AK27*Share2027</f>
        <v>136.470588235294</v>
      </c>
      <c r="AW27" s="31" t="n">
        <f aca="false">INT(AT27)</f>
        <v>163</v>
      </c>
      <c r="AX27" s="31" t="n">
        <f aca="false">INT(AU27)</f>
        <v>163</v>
      </c>
      <c r="AY27" s="31" t="n">
        <f aca="false">INT(AV27)</f>
        <v>136</v>
      </c>
      <c r="AZ27" s="26" t="n">
        <f aca="false">AT27-AW27</f>
        <v>0.764705882352985</v>
      </c>
      <c r="BA27" s="26" t="n">
        <f aca="false">AU27-AX27</f>
        <v>0.764705882352985</v>
      </c>
      <c r="BB27" s="26" t="n">
        <f aca="false">AV27-AY27</f>
        <v>0.470588235294088</v>
      </c>
      <c r="BC27" s="31" t="n">
        <f aca="false">AK27-AW27-AX27-AY27</f>
        <v>2</v>
      </c>
      <c r="BD27" s="27" t="n">
        <f aca="false">AW27+IF((BA27&gt;AZ27)+(BB27&gt;AZ27)&lt;BC27,1,0)</f>
        <v>164</v>
      </c>
      <c r="BE27" s="27" t="n">
        <f aca="false">AX27+IF((AZ27&gt;BA27)+(BB27&gt;BA27)+(AZ27=BA27)&lt;BC27,1,0)</f>
        <v>164</v>
      </c>
      <c r="BF27" s="27" t="n">
        <f aca="false">AY27+IF((AZ27&gt;BB27)+(BA27&gt;BB27)+(AZ27=BB27)+(BA27=BB27)&lt;BC27,1,0)</f>
        <v>136</v>
      </c>
    </row>
    <row r="28" customFormat="false" ht="15" hidden="false" customHeight="false" outlineLevel="0" collapsed="false">
      <c r="A28" s="22" t="str">
        <f aca="false">'District Data'!A28</f>
        <v>Gujrat</v>
      </c>
      <c r="B28" s="22" t="str">
        <f aca="false">'District Data'!C28</f>
        <v>Lahore Region</v>
      </c>
      <c r="C28" s="22" t="str">
        <f aca="false">'District Data'!D28</f>
        <v>Stronghold</v>
      </c>
      <c r="D28" s="23" t="n">
        <f aca="false">ROUND('District Data'!E28*'District Data'!F28,0)</f>
        <v>1281869</v>
      </c>
      <c r="E28" s="23" t="n">
        <f aca="false">'District Data'!I28</f>
        <v>655</v>
      </c>
      <c r="F28" s="23" t="n">
        <f aca="false">'District Data'!L28</f>
        <v>649361.1</v>
      </c>
      <c r="G28" s="24" t="n">
        <f aca="false">IFERROR(F28/(E28*Weeks),0)</f>
        <v>19.0652113916618</v>
      </c>
      <c r="H28" s="25" t="n">
        <f aca="false">IFERROR('District Data'!N28/('District Data'!M28*Weeks),0)</f>
        <v>14.3511538461538</v>
      </c>
      <c r="I28" s="24" t="n">
        <f aca="false">IFERROR(SUMIFS('District Data'!$N$5:$N$119,'District Data'!$C$5:$C$119,B28)/(SUMIFS('District Data'!$M$5:$M$119,'District Data'!$C$5:$C$119,B28)*Weeks),0)</f>
        <v>11.5536217630433</v>
      </c>
      <c r="J28" s="24" t="n">
        <f aca="false">IF(TPBasis="NI TP",IF(H28&gt;0,H28,I28),G28)</f>
        <v>14.3511538461538</v>
      </c>
      <c r="K28" s="26" t="n">
        <f aca="false">IFERROR(F28/D28,0)</f>
        <v>0.506573682646199</v>
      </c>
      <c r="L28" s="27" t="n">
        <f aca="false">IFERROR(D28/E28,0)</f>
        <v>1957.05190839695</v>
      </c>
      <c r="M28" s="28" t="n">
        <f aca="false">IFERROR('District Data'!L28/'District Data'!K28-1,0)</f>
        <v>0.0196002971369247</v>
      </c>
      <c r="N28" s="28" t="n">
        <f aca="false">IFERROR(('District Data'!L28/'District Data'!J28)^(1/2)-1,0)</f>
        <v>0.0184611948483762</v>
      </c>
      <c r="O28" s="28" t="n">
        <f aca="false">IFERROR('District Data'!I28/'District Data'!H28-1,0)</f>
        <v>0.104553119730185</v>
      </c>
      <c r="P28" s="7" t="str">
        <f aca="false">IF(K28&gt;=PCC_L1,"Layer 01",IF(K28&gt;=PCC_L2,"Layer 02",IF(K28&gt;=PCC_L3,"Layer 03",IF(K28&gt;=PCC_L4,"Layer 04","Layer 05"))))</f>
        <v>Layer 03</v>
      </c>
      <c r="Q28" s="7" t="str">
        <f aca="false">IF(L28&gt;=PPO_L1,"Layer 01",IF(L28&gt;=PPO_L2,"Layer 02",IF(L28&gt;=PPO_L3,"Layer 03",IF(L28&gt;=PPO_L4,"Layer 04","Layer 05"))))</f>
        <v>Layer 04</v>
      </c>
      <c r="R28" s="29" t="n">
        <f aca="false">D28/IdealPPO-E28</f>
        <v>1054.15866666667</v>
      </c>
      <c r="S28" s="29" t="n">
        <f aca="false">IdealTP*Weeks-(Weeks*J28+FirstFill)</f>
        <v>-46.26</v>
      </c>
      <c r="T28" s="29" t="n">
        <f aca="false">IF(S28&gt;0,(F28-IdealTP*Weeks*E28)/S28,1000000000000)</f>
        <v>1000000000000</v>
      </c>
      <c r="U28" s="27" t="n">
        <f aca="false">IF(E28&lt;=0,0,IF(G28&lt;=IdealTP,0,IF(L28&lt;=IdealPPO,0,INT(MIN(T28,R28)+0.000000001))))</f>
        <v>1054</v>
      </c>
      <c r="V28" s="7" t="str">
        <f aca="false">IF(E28&lt;=0,"No current outlets",IF(G28&lt;=IdealTP,"TP already at or below ideal",IF(L28&lt;=IdealPPO,"PPO already at or below ideal",IF(T28&lt;=R28,"Stopped by TP reaching ideal","Stopped by PPO reaching ideal"))))</f>
        <v>Stopped by PPO reaching ideal</v>
      </c>
      <c r="W28" s="30" t="n">
        <f aca="false">F28+U28*(Weeks*J28+FirstFill)</f>
        <v>1520239.14</v>
      </c>
      <c r="X28" s="30" t="n">
        <f aca="false">E28+U28</f>
        <v>1709</v>
      </c>
      <c r="Y28" s="24" t="n">
        <f aca="false">IFERROR(W28/(X28*Weeks),0)</f>
        <v>17.1067104019445</v>
      </c>
      <c r="Z28" s="30" t="n">
        <f aca="false">IFERROR(D28/X28,0)</f>
        <v>750.06963136337</v>
      </c>
      <c r="AA28" s="7" t="str">
        <f aca="false">IF(AND(K28&gt;=NationalPCC,L28&gt;IdealPPO),"Q1: High PCC, High PPO",IF(K28&gt;=NationalPCC,"Q2: High PCC, Low PPO",IF(L28&gt;IdealPPO,"Q3: Low PCC, High PPO","Q4: Low PCC, Low PPO")))</f>
        <v>Q1: High PCC, High PPO</v>
      </c>
      <c r="AB28" s="7" t="str">
        <f aca="false">IF(K28&gt;=NationalPCC,IF(L28&gt;IdealPPO,"Phase 1","Phase 2"),"Phase 3")</f>
        <v>Phase 1</v>
      </c>
      <c r="AC28" s="7" t="str">
        <f aca="false">IF(AND(G28&gt;IdealTP,L28&gt;IdealPPO),"High TP, High PPO",IF(G28&gt;IdealTP,"High TP, Low PPO",IF(L28&gt;IdealPPO,"Low TP, High PPO","Low TP, Low PPO")))</f>
        <v>High TP, High PPO</v>
      </c>
      <c r="AD28" s="31" t="n">
        <f aca="false">INDEX(WaveNumbers,MATCH(C28,WaveNames,0))</f>
        <v>1</v>
      </c>
      <c r="AE28" s="32" t="n">
        <f aca="false">IF(U28&gt;0,AD28*10000000+VALUE(RIGHT(AB28,1))*1000000+(1000000-U28)+ROW()/1000000,"")</f>
        <v>11998946.000028</v>
      </c>
      <c r="AF28" s="31" t="n">
        <f aca="false">IF(U28&gt;0,COUNTIFS($AE$5:$AE$119,"&lt;"&amp;AE28)+1,"")</f>
        <v>5</v>
      </c>
      <c r="AG28" s="7" t="str">
        <f aca="false">IF(AF28="","No",IF(AF28&lt;=TopN,"Yes","No"))</f>
        <v>Yes</v>
      </c>
      <c r="AH28" s="30" t="n">
        <f aca="false">INT('District Data'!O28*ConvRate)</f>
        <v>60</v>
      </c>
      <c r="AI28" s="27" t="n">
        <f aca="false">MIN(U28,AH28)</f>
        <v>60</v>
      </c>
      <c r="AJ28" s="7" t="str">
        <f aca="false">IF(U28=0,"No expansion",IF(AH28&lt;U28,"Supply constrained (not enough shops)","Demand constrained (enough shops)"))</f>
        <v>Supply constrained (not enough shops)</v>
      </c>
      <c r="AK28" s="30" t="n">
        <f aca="false">IF(AG28="Yes",AI28,0)</f>
        <v>60</v>
      </c>
      <c r="AL28" s="26" t="n">
        <f aca="false">IF(AG28="Yes",IF(Budget1&gt;=ShortlistFinal,AK28,AK28/ShortlistFinal*Budget1),0)</f>
        <v>35.4767184035477</v>
      </c>
      <c r="AM28" s="30" t="n">
        <f aca="false">INT(AL28)</f>
        <v>35</v>
      </c>
      <c r="AN28" s="26" t="n">
        <f aca="false">IF(AND(AG28="Yes",Budget1&lt;ShortlistFinal),AL28-AM28,-1)</f>
        <v>0.476718403547672</v>
      </c>
      <c r="AO28" s="27" t="n">
        <f aca="false">IF(AG28&lt;&gt;"Yes",0,IF(Budget1&gt;=ShortlistFinal,AK28,AM28+IF(COUNTIFS($AN$5:$AN$119,"&gt;"&amp;AN28)+COUNTIFS($AN$5:$AN$119,AN28,$AF$5:$AF$119,"&lt;"&amp;AF28)&lt;Budget1-SUM($AM$5:$AM$119),1,0)))</f>
        <v>35</v>
      </c>
      <c r="AP28" s="26" t="n">
        <f aca="false">IF(AG28="Yes",IF(Budget2&gt;=ShortlistFinal,AK28,AK28/ShortlistFinal*Budget2),0)</f>
        <v>53.2150776053215</v>
      </c>
      <c r="AQ28" s="30" t="n">
        <f aca="false">INT(AP28)</f>
        <v>53</v>
      </c>
      <c r="AR28" s="26" t="n">
        <f aca="false">IF(AND(AG28="Yes",Budget2&lt;ShortlistFinal),AP28-AQ28,-1)</f>
        <v>0.215077605321511</v>
      </c>
      <c r="AS28" s="27" t="n">
        <f aca="false">IF(AG28&lt;&gt;"Yes",0,IF(Budget2&gt;=ShortlistFinal,AK28,AQ28+IF(COUNTIFS($AR$5:$AR$119,"&gt;"&amp;AR28)+COUNTIFS($AR$5:$AR$119,AR28,$AF$5:$AF$119,"&lt;"&amp;AF28)&lt;Budget2-SUM($AQ$5:$AQ$119),1,0)))</f>
        <v>53</v>
      </c>
      <c r="AT28" s="26" t="n">
        <f aca="false">AK28*Share2025</f>
        <v>21.1764705882353</v>
      </c>
      <c r="AU28" s="26" t="n">
        <f aca="false">AK28*Share2026</f>
        <v>21.1764705882353</v>
      </c>
      <c r="AV28" s="26" t="n">
        <f aca="false">AK28*Share2027</f>
        <v>17.6470588235294</v>
      </c>
      <c r="AW28" s="31" t="n">
        <f aca="false">INT(AT28)</f>
        <v>21</v>
      </c>
      <c r="AX28" s="31" t="n">
        <f aca="false">INT(AU28)</f>
        <v>21</v>
      </c>
      <c r="AY28" s="31" t="n">
        <f aca="false">INT(AV28)</f>
        <v>17</v>
      </c>
      <c r="AZ28" s="26" t="n">
        <f aca="false">AT28-AW28</f>
        <v>0.176470588235297</v>
      </c>
      <c r="BA28" s="26" t="n">
        <f aca="false">AU28-AX28</f>
        <v>0.176470588235297</v>
      </c>
      <c r="BB28" s="26" t="n">
        <f aca="false">AV28-AY28</f>
        <v>0.64705882352941</v>
      </c>
      <c r="BC28" s="31" t="n">
        <f aca="false">AK28-AW28-AX28-AY28</f>
        <v>1</v>
      </c>
      <c r="BD28" s="27" t="n">
        <f aca="false">AW28+IF((BA28&gt;AZ28)+(BB28&gt;AZ28)&lt;BC28,1,0)</f>
        <v>21</v>
      </c>
      <c r="BE28" s="27" t="n">
        <f aca="false">AX28+IF((AZ28&gt;BA28)+(BB28&gt;BA28)+(AZ28=BA28)&lt;BC28,1,0)</f>
        <v>21</v>
      </c>
      <c r="BF28" s="27" t="n">
        <f aca="false">AY28+IF((AZ28&gt;BB28)+(BA28&gt;BB28)+(AZ28=BB28)+(BA28=BB28)&lt;BC28,1,0)</f>
        <v>18</v>
      </c>
    </row>
    <row r="29" customFormat="false" ht="15" hidden="false" customHeight="false" outlineLevel="0" collapsed="false">
      <c r="A29" s="22" t="str">
        <f aca="false">'District Data'!A29</f>
        <v>Gwadar</v>
      </c>
      <c r="B29" s="22" t="str">
        <f aca="false">'District Data'!C29</f>
        <v>Karachi Region</v>
      </c>
      <c r="C29" s="22" t="str">
        <f aca="false">'District Data'!D29</f>
        <v>Rest</v>
      </c>
      <c r="D29" s="23" t="n">
        <f aca="false">ROUND('District Data'!E29*'District Data'!F29,0)</f>
        <v>136140</v>
      </c>
      <c r="E29" s="23" t="n">
        <f aca="false">'District Data'!I29</f>
        <v>8</v>
      </c>
      <c r="F29" s="23" t="n">
        <f aca="false">'District Data'!L29</f>
        <v>4363.3</v>
      </c>
      <c r="G29" s="24" t="n">
        <f aca="false">IFERROR(F29/(E29*Weeks),0)</f>
        <v>10.4887019230769</v>
      </c>
      <c r="H29" s="25" t="n">
        <f aca="false">IFERROR('District Data'!N29/('District Data'!M29*Weeks),0)</f>
        <v>6.69615384615385</v>
      </c>
      <c r="I29" s="24" t="n">
        <f aca="false">IFERROR(SUMIFS('District Data'!$N$5:$N$119,'District Data'!$C$5:$C$119,B29)/(SUMIFS('District Data'!$M$5:$M$119,'District Data'!$C$5:$C$119,B29)*Weeks),0)</f>
        <v>12.952446872194</v>
      </c>
      <c r="J29" s="24" t="n">
        <f aca="false">IF(TPBasis="NI TP",IF(H29&gt;0,H29,I29),G29)</f>
        <v>6.69615384615385</v>
      </c>
      <c r="K29" s="26" t="n">
        <f aca="false">IFERROR(F29/D29,0)</f>
        <v>0.0320500954899368</v>
      </c>
      <c r="L29" s="27" t="n">
        <f aca="false">IFERROR(D29/E29,0)</f>
        <v>17017.5</v>
      </c>
      <c r="M29" s="28" t="n">
        <f aca="false">IFERROR('District Data'!L29/'District Data'!K29-1,0)</f>
        <v>0.215268493761141</v>
      </c>
      <c r="N29" s="28" t="n">
        <f aca="false">IFERROR(('District Data'!L29/'District Data'!J29)^(1/2)-1,0)</f>
        <v>0.205376277474117</v>
      </c>
      <c r="O29" s="28" t="n">
        <f aca="false">IFERROR('District Data'!I29/'District Data'!H29-1,0)</f>
        <v>0.333333333333333</v>
      </c>
      <c r="P29" s="7" t="str">
        <f aca="false">IF(K29&gt;=PCC_L1,"Layer 01",IF(K29&gt;=PCC_L2,"Layer 02",IF(K29&gt;=PCC_L3,"Layer 03",IF(K29&gt;=PCC_L4,"Layer 04","Layer 05"))))</f>
        <v>Layer 05</v>
      </c>
      <c r="Q29" s="7" t="str">
        <f aca="false">IF(L29&gt;=PPO_L1,"Layer 01",IF(L29&gt;=PPO_L2,"Layer 02",IF(L29&gt;=PPO_L3,"Layer 03",IF(L29&gt;=PPO_L4,"Layer 04","Layer 05"))))</f>
        <v>Layer 02</v>
      </c>
      <c r="R29" s="29" t="n">
        <f aca="false">D29/IdealPPO-E29</f>
        <v>173.52</v>
      </c>
      <c r="S29" s="29" t="n">
        <f aca="false">IdealTP*Weeks-(Weeks*J29+FirstFill)</f>
        <v>351.8</v>
      </c>
      <c r="T29" s="29" t="n">
        <f aca="false">IF(S29&gt;0,(F29-IdealTP*Weeks*E29)/S29,1000000000000)</f>
        <v>-5.3345650938033</v>
      </c>
      <c r="U29" s="27" t="n">
        <f aca="false">IF(E29&lt;=0,0,IF(G29&lt;=IdealTP,0,IF(L29&lt;=IdealPPO,0,INT(MIN(T29,R29)+0.000000001))))</f>
        <v>0</v>
      </c>
      <c r="V29" s="7" t="str">
        <f aca="false">IF(E29&lt;=0,"No current outlets",IF(G29&lt;=IdealTP,"TP already at or below ideal",IF(L29&lt;=IdealPPO,"PPO already at or below ideal",IF(T29&lt;=R29,"Stopped by TP reaching ideal","Stopped by PPO reaching ideal"))))</f>
        <v>TP already at or below ideal</v>
      </c>
      <c r="W29" s="30" t="n">
        <f aca="false">F29+U29*(Weeks*J29+FirstFill)</f>
        <v>4363.3</v>
      </c>
      <c r="X29" s="30" t="n">
        <f aca="false">E29+U29</f>
        <v>8</v>
      </c>
      <c r="Y29" s="24" t="n">
        <f aca="false">IFERROR(W29/(X29*Weeks),0)</f>
        <v>10.4887019230769</v>
      </c>
      <c r="Z29" s="30" t="n">
        <f aca="false">IFERROR(D29/X29,0)</f>
        <v>17017.5</v>
      </c>
      <c r="AA29" s="7" t="str">
        <f aca="false">IF(AND(K29&gt;=NationalPCC,L29&gt;IdealPPO),"Q1: High PCC, High PPO",IF(K29&gt;=NationalPCC,"Q2: High PCC, Low PPO",IF(L29&gt;IdealPPO,"Q3: Low PCC, High PPO","Q4: Low PCC, Low PPO")))</f>
        <v>Q3: Low PCC, High PPO</v>
      </c>
      <c r="AB29" s="7" t="str">
        <f aca="false">IF(K29&gt;=NationalPCC,IF(L29&gt;IdealPPO,"Phase 1","Phase 2"),"Phase 3")</f>
        <v>Phase 3</v>
      </c>
      <c r="AC29" s="7" t="str">
        <f aca="false">IF(AND(G29&gt;IdealTP,L29&gt;IdealPPO),"High TP, High PPO",IF(G29&gt;IdealTP,"High TP, Low PPO",IF(L29&gt;IdealPPO,"Low TP, High PPO","Low TP, Low PPO")))</f>
        <v>Low TP, High PPO</v>
      </c>
      <c r="AD29" s="31" t="n">
        <f aca="false">INDEX(WaveNumbers,MATCH(C29,WaveNames,0))</f>
        <v>4</v>
      </c>
      <c r="AE29" s="32" t="str">
        <f aca="false">IF(U29&gt;0,AD29*10000000+VALUE(RIGHT(AB29,1))*1000000+(1000000-U29)+ROW()/1000000,"")</f>
        <v/>
      </c>
      <c r="AF29" s="31" t="str">
        <f aca="false">IF(U29&gt;0,COUNTIFS($AE$5:$AE$119,"&lt;"&amp;AE29)+1,"")</f>
        <v/>
      </c>
      <c r="AG29" s="7" t="str">
        <f aca="false">IF(AF29="","No",IF(AF29&lt;=TopN,"Yes","No"))</f>
        <v>No</v>
      </c>
      <c r="AH29" s="30" t="n">
        <f aca="false">INT('District Data'!O29*ConvRate)</f>
        <v>16</v>
      </c>
      <c r="AI29" s="27" t="n">
        <f aca="false">MIN(U29,AH29)</f>
        <v>0</v>
      </c>
      <c r="AJ29" s="7" t="str">
        <f aca="false">IF(U29=0,"No expansion",IF(AH29&lt;U29,"Supply constrained (not enough shops)","Demand constrained (enough shops)"))</f>
        <v>No expansion</v>
      </c>
      <c r="AK29" s="30" t="n">
        <f aca="false">IF(AG29="Yes",AI29,0)</f>
        <v>0</v>
      </c>
      <c r="AL29" s="26" t="n">
        <f aca="false">IF(AG29="Yes",IF(Budget1&gt;=ShortlistFinal,AK29,AK29/ShortlistFinal*Budget1),0)</f>
        <v>0</v>
      </c>
      <c r="AM29" s="30" t="n">
        <f aca="false">INT(AL29)</f>
        <v>0</v>
      </c>
      <c r="AN29" s="26" t="n">
        <f aca="false">IF(AND(AG29="Yes",Budget1&lt;ShortlistFinal),AL29-AM29,-1)</f>
        <v>-1</v>
      </c>
      <c r="AO29" s="27" t="n">
        <f aca="false">IF(AG29&lt;&gt;"Yes",0,IF(Budget1&gt;=ShortlistFinal,AK29,AM29+IF(COUNTIFS($AN$5:$AN$119,"&gt;"&amp;AN29)+COUNTIFS($AN$5:$AN$119,AN29,$AF$5:$AF$119,"&lt;"&amp;AF29)&lt;Budget1-SUM($AM$5:$AM$119),1,0)))</f>
        <v>0</v>
      </c>
      <c r="AP29" s="26" t="n">
        <f aca="false">IF(AG29="Yes",IF(Budget2&gt;=ShortlistFinal,AK29,AK29/ShortlistFinal*Budget2),0)</f>
        <v>0</v>
      </c>
      <c r="AQ29" s="30" t="n">
        <f aca="false">INT(AP29)</f>
        <v>0</v>
      </c>
      <c r="AR29" s="26" t="n">
        <f aca="false">IF(AND(AG29="Yes",Budget2&lt;ShortlistFinal),AP29-AQ29,-1)</f>
        <v>-1</v>
      </c>
      <c r="AS29" s="27" t="n">
        <f aca="false">IF(AG29&lt;&gt;"Yes",0,IF(Budget2&gt;=ShortlistFinal,AK29,AQ29+IF(COUNTIFS($AR$5:$AR$119,"&gt;"&amp;AR29)+COUNTIFS($AR$5:$AR$119,AR29,$AF$5:$AF$119,"&lt;"&amp;AF29)&lt;Budget2-SUM($AQ$5:$AQ$119),1,0)))</f>
        <v>0</v>
      </c>
      <c r="AT29" s="26" t="n">
        <f aca="false">AK29*Share2025</f>
        <v>0</v>
      </c>
      <c r="AU29" s="26" t="n">
        <f aca="false">AK29*Share2026</f>
        <v>0</v>
      </c>
      <c r="AV29" s="26" t="n">
        <f aca="false">AK29*Share2027</f>
        <v>0</v>
      </c>
      <c r="AW29" s="31" t="n">
        <f aca="false">INT(AT29)</f>
        <v>0</v>
      </c>
      <c r="AX29" s="31" t="n">
        <f aca="false">INT(AU29)</f>
        <v>0</v>
      </c>
      <c r="AY29" s="31" t="n">
        <f aca="false">INT(AV29)</f>
        <v>0</v>
      </c>
      <c r="AZ29" s="26" t="n">
        <f aca="false">AT29-AW29</f>
        <v>0</v>
      </c>
      <c r="BA29" s="26" t="n">
        <f aca="false">AU29-AX29</f>
        <v>0</v>
      </c>
      <c r="BB29" s="26" t="n">
        <f aca="false">AV29-AY29</f>
        <v>0</v>
      </c>
      <c r="BC29" s="31" t="n">
        <f aca="false">AK29-AW29-AX29-AY29</f>
        <v>0</v>
      </c>
      <c r="BD29" s="27" t="n">
        <f aca="false">AW29+IF((BA29&gt;AZ29)+(BB29&gt;AZ29)&lt;BC29,1,0)</f>
        <v>0</v>
      </c>
      <c r="BE29" s="27" t="n">
        <f aca="false">AX29+IF((AZ29&gt;BA29)+(BB29&gt;BA29)+(AZ29=BA29)&lt;BC29,1,0)</f>
        <v>0</v>
      </c>
      <c r="BF29" s="27" t="n">
        <f aca="false">AY29+IF((AZ29&gt;BB29)+(BA29&gt;BB29)+(AZ29=BB29)+(BA29=BB29)&lt;BC29,1,0)</f>
        <v>0</v>
      </c>
    </row>
    <row r="30" customFormat="false" ht="15" hidden="false" customHeight="false" outlineLevel="0" collapsed="false">
      <c r="A30" s="22" t="str">
        <f aca="false">'District Data'!A30</f>
        <v>Hafizabad</v>
      </c>
      <c r="B30" s="22" t="str">
        <f aca="false">'District Data'!C30</f>
        <v>Lahore Region</v>
      </c>
      <c r="C30" s="22" t="str">
        <f aca="false">'District Data'!D30</f>
        <v>Stronghold</v>
      </c>
      <c r="D30" s="23" t="n">
        <f aca="false">ROUND('District Data'!E30*'District Data'!F30,0)</f>
        <v>514049</v>
      </c>
      <c r="E30" s="23" t="n">
        <f aca="false">'District Data'!I30</f>
        <v>124</v>
      </c>
      <c r="F30" s="23" t="n">
        <f aca="false">'District Data'!L30</f>
        <v>83603.7</v>
      </c>
      <c r="G30" s="24" t="n">
        <f aca="false">IFERROR(F30/(E30*Weeks),0)</f>
        <v>12.9658343672457</v>
      </c>
      <c r="H30" s="25" t="n">
        <f aca="false">IFERROR('District Data'!N30/('District Data'!M30*Weeks),0)</f>
        <v>9.93653846153846</v>
      </c>
      <c r="I30" s="24" t="n">
        <f aca="false">IFERROR(SUMIFS('District Data'!$N$5:$N$119,'District Data'!$C$5:$C$119,B30)/(SUMIFS('District Data'!$M$5:$M$119,'District Data'!$C$5:$C$119,B30)*Weeks),0)</f>
        <v>11.5536217630433</v>
      </c>
      <c r="J30" s="24" t="n">
        <f aca="false">IF(TPBasis="NI TP",IF(H30&gt;0,H30,I30),G30)</f>
        <v>9.93653846153846</v>
      </c>
      <c r="K30" s="26" t="n">
        <f aca="false">IFERROR(F30/D30,0)</f>
        <v>0.162637608477013</v>
      </c>
      <c r="L30" s="27" t="n">
        <f aca="false">IFERROR(D30/E30,0)</f>
        <v>4145.5564516129</v>
      </c>
      <c r="M30" s="28" t="n">
        <f aca="false">IFERROR('District Data'!L30/'District Data'!K30-1,0)</f>
        <v>0.111291739719345</v>
      </c>
      <c r="N30" s="28" t="n">
        <f aca="false">IFERROR(('District Data'!L30/'District Data'!J30)^(1/2)-1,0)</f>
        <v>0.0679865860816624</v>
      </c>
      <c r="O30" s="28" t="n">
        <f aca="false">IFERROR('District Data'!I30/'District Data'!H30-1,0)</f>
        <v>0.148148148148148</v>
      </c>
      <c r="P30" s="7" t="str">
        <f aca="false">IF(K30&gt;=PCC_L1,"Layer 01",IF(K30&gt;=PCC_L2,"Layer 02",IF(K30&gt;=PCC_L3,"Layer 03",IF(K30&gt;=PCC_L4,"Layer 04","Layer 05"))))</f>
        <v>Layer 05</v>
      </c>
      <c r="Q30" s="7" t="str">
        <f aca="false">IF(L30&gt;=PPO_L1,"Layer 01",IF(L30&gt;=PPO_L2,"Layer 02",IF(L30&gt;=PPO_L3,"Layer 03",IF(L30&gt;=PPO_L4,"Layer 04","Layer 05"))))</f>
        <v>Layer 03</v>
      </c>
      <c r="R30" s="29" t="n">
        <f aca="false">D30/IdealPPO-E30</f>
        <v>561.398666666667</v>
      </c>
      <c r="S30" s="29" t="n">
        <f aca="false">IdealTP*Weeks-(Weeks*J30+FirstFill)</f>
        <v>183.3</v>
      </c>
      <c r="T30" s="29" t="n">
        <f aca="false">IF(S30&gt;0,(F30-IdealTP*Weeks*E30)/S30,1000000000000)</f>
        <v>-71.556464811784</v>
      </c>
      <c r="U30" s="27" t="n">
        <f aca="false">IF(E30&lt;=0,0,IF(G30&lt;=IdealTP,0,IF(L30&lt;=IdealPPO,0,INT(MIN(T30,R30)+0.000000001))))</f>
        <v>0</v>
      </c>
      <c r="V30" s="7" t="str">
        <f aca="false">IF(E30&lt;=0,"No current outlets",IF(G30&lt;=IdealTP,"TP already at or below ideal",IF(L30&lt;=IdealPPO,"PPO already at or below ideal",IF(T30&lt;=R30,"Stopped by TP reaching ideal","Stopped by PPO reaching ideal"))))</f>
        <v>TP already at or below ideal</v>
      </c>
      <c r="W30" s="30" t="n">
        <f aca="false">F30+U30*(Weeks*J30+FirstFill)</f>
        <v>83603.7</v>
      </c>
      <c r="X30" s="30" t="n">
        <f aca="false">E30+U30</f>
        <v>124</v>
      </c>
      <c r="Y30" s="24" t="n">
        <f aca="false">IFERROR(W30/(X30*Weeks),0)</f>
        <v>12.9658343672457</v>
      </c>
      <c r="Z30" s="30" t="n">
        <f aca="false">IFERROR(D30/X30,0)</f>
        <v>4145.5564516129</v>
      </c>
      <c r="AA30" s="7" t="str">
        <f aca="false">IF(AND(K30&gt;=NationalPCC,L30&gt;IdealPPO),"Q1: High PCC, High PPO",IF(K30&gt;=NationalPCC,"Q2: High PCC, Low PPO",IF(L30&gt;IdealPPO,"Q3: Low PCC, High PPO","Q4: Low PCC, Low PPO")))</f>
        <v>Q3: Low PCC, High PPO</v>
      </c>
      <c r="AB30" s="7" t="str">
        <f aca="false">IF(K30&gt;=NationalPCC,IF(L30&gt;IdealPPO,"Phase 1","Phase 2"),"Phase 3")</f>
        <v>Phase 3</v>
      </c>
      <c r="AC30" s="7" t="str">
        <f aca="false">IF(AND(G30&gt;IdealTP,L30&gt;IdealPPO),"High TP, High PPO",IF(G30&gt;IdealTP,"High TP, Low PPO",IF(L30&gt;IdealPPO,"Low TP, High PPO","Low TP, Low PPO")))</f>
        <v>Low TP, High PPO</v>
      </c>
      <c r="AD30" s="31" t="n">
        <f aca="false">INDEX(WaveNumbers,MATCH(C30,WaveNames,0))</f>
        <v>1</v>
      </c>
      <c r="AE30" s="32" t="str">
        <f aca="false">IF(U30&gt;0,AD30*10000000+VALUE(RIGHT(AB30,1))*1000000+(1000000-U30)+ROW()/1000000,"")</f>
        <v/>
      </c>
      <c r="AF30" s="31" t="str">
        <f aca="false">IF(U30&gt;0,COUNTIFS($AE$5:$AE$119,"&lt;"&amp;AE30)+1,"")</f>
        <v/>
      </c>
      <c r="AG30" s="7" t="str">
        <f aca="false">IF(AF30="","No",IF(AF30&lt;=TopN,"Yes","No"))</f>
        <v>No</v>
      </c>
      <c r="AH30" s="30" t="n">
        <f aca="false">INT('District Data'!O30*ConvRate)</f>
        <v>21</v>
      </c>
      <c r="AI30" s="27" t="n">
        <f aca="false">MIN(U30,AH30)</f>
        <v>0</v>
      </c>
      <c r="AJ30" s="7" t="str">
        <f aca="false">IF(U30=0,"No expansion",IF(AH30&lt;U30,"Supply constrained (not enough shops)","Demand constrained (enough shops)"))</f>
        <v>No expansion</v>
      </c>
      <c r="AK30" s="30" t="n">
        <f aca="false">IF(AG30="Yes",AI30,0)</f>
        <v>0</v>
      </c>
      <c r="AL30" s="26" t="n">
        <f aca="false">IF(AG30="Yes",IF(Budget1&gt;=ShortlistFinal,AK30,AK30/ShortlistFinal*Budget1),0)</f>
        <v>0</v>
      </c>
      <c r="AM30" s="30" t="n">
        <f aca="false">INT(AL30)</f>
        <v>0</v>
      </c>
      <c r="AN30" s="26" t="n">
        <f aca="false">IF(AND(AG30="Yes",Budget1&lt;ShortlistFinal),AL30-AM30,-1)</f>
        <v>-1</v>
      </c>
      <c r="AO30" s="27" t="n">
        <f aca="false">IF(AG30&lt;&gt;"Yes",0,IF(Budget1&gt;=ShortlistFinal,AK30,AM30+IF(COUNTIFS($AN$5:$AN$119,"&gt;"&amp;AN30)+COUNTIFS($AN$5:$AN$119,AN30,$AF$5:$AF$119,"&lt;"&amp;AF30)&lt;Budget1-SUM($AM$5:$AM$119),1,0)))</f>
        <v>0</v>
      </c>
      <c r="AP30" s="26" t="n">
        <f aca="false">IF(AG30="Yes",IF(Budget2&gt;=ShortlistFinal,AK30,AK30/ShortlistFinal*Budget2),0)</f>
        <v>0</v>
      </c>
      <c r="AQ30" s="30" t="n">
        <f aca="false">INT(AP30)</f>
        <v>0</v>
      </c>
      <c r="AR30" s="26" t="n">
        <f aca="false">IF(AND(AG30="Yes",Budget2&lt;ShortlistFinal),AP30-AQ30,-1)</f>
        <v>-1</v>
      </c>
      <c r="AS30" s="27" t="n">
        <f aca="false">IF(AG30&lt;&gt;"Yes",0,IF(Budget2&gt;=ShortlistFinal,AK30,AQ30+IF(COUNTIFS($AR$5:$AR$119,"&gt;"&amp;AR30)+COUNTIFS($AR$5:$AR$119,AR30,$AF$5:$AF$119,"&lt;"&amp;AF30)&lt;Budget2-SUM($AQ$5:$AQ$119),1,0)))</f>
        <v>0</v>
      </c>
      <c r="AT30" s="26" t="n">
        <f aca="false">AK30*Share2025</f>
        <v>0</v>
      </c>
      <c r="AU30" s="26" t="n">
        <f aca="false">AK30*Share2026</f>
        <v>0</v>
      </c>
      <c r="AV30" s="26" t="n">
        <f aca="false">AK30*Share2027</f>
        <v>0</v>
      </c>
      <c r="AW30" s="31" t="n">
        <f aca="false">INT(AT30)</f>
        <v>0</v>
      </c>
      <c r="AX30" s="31" t="n">
        <f aca="false">INT(AU30)</f>
        <v>0</v>
      </c>
      <c r="AY30" s="31" t="n">
        <f aca="false">INT(AV30)</f>
        <v>0</v>
      </c>
      <c r="AZ30" s="26" t="n">
        <f aca="false">AT30-AW30</f>
        <v>0</v>
      </c>
      <c r="BA30" s="26" t="n">
        <f aca="false">AU30-AX30</f>
        <v>0</v>
      </c>
      <c r="BB30" s="26" t="n">
        <f aca="false">AV30-AY30</f>
        <v>0</v>
      </c>
      <c r="BC30" s="31" t="n">
        <f aca="false">AK30-AW30-AX30-AY30</f>
        <v>0</v>
      </c>
      <c r="BD30" s="27" t="n">
        <f aca="false">AW30+IF((BA30&gt;AZ30)+(BB30&gt;AZ30)&lt;BC30,1,0)</f>
        <v>0</v>
      </c>
      <c r="BE30" s="27" t="n">
        <f aca="false">AX30+IF((AZ30&gt;BA30)+(BB30&gt;BA30)+(AZ30=BA30)&lt;BC30,1,0)</f>
        <v>0</v>
      </c>
      <c r="BF30" s="27" t="n">
        <f aca="false">AY30+IF((AZ30&gt;BB30)+(BA30&gt;BB30)+(AZ30=BB30)+(BA30=BB30)&lt;BC30,1,0)</f>
        <v>0</v>
      </c>
    </row>
    <row r="31" customFormat="false" ht="15" hidden="false" customHeight="false" outlineLevel="0" collapsed="false">
      <c r="A31" s="22" t="str">
        <f aca="false">'District Data'!A31</f>
        <v>Hangu</v>
      </c>
      <c r="B31" s="22" t="str">
        <f aca="false">'District Data'!C31</f>
        <v>Peshawar Region</v>
      </c>
      <c r="C31" s="22" t="str">
        <f aca="false">'District Data'!D31</f>
        <v>Rest</v>
      </c>
      <c r="D31" s="23" t="n">
        <f aca="false">ROUND('District Data'!E31*'District Data'!F31,0)</f>
        <v>124692</v>
      </c>
      <c r="E31" s="23" t="n">
        <f aca="false">'District Data'!I31</f>
        <v>26</v>
      </c>
      <c r="F31" s="23" t="n">
        <f aca="false">'District Data'!L31</f>
        <v>24303.5</v>
      </c>
      <c r="G31" s="24" t="n">
        <f aca="false">IFERROR(F31/(E31*Weeks),0)</f>
        <v>17.9759615384615</v>
      </c>
      <c r="H31" s="25" t="n">
        <f aca="false">IFERROR('District Data'!N31/('District Data'!M31*Weeks),0)</f>
        <v>16.1182692307692</v>
      </c>
      <c r="I31" s="24" t="n">
        <f aca="false">IFERROR(SUMIFS('District Data'!$N$5:$N$119,'District Data'!$C$5:$C$119,B31)/(SUMIFS('District Data'!$M$5:$M$119,'District Data'!$C$5:$C$119,B31)*Weeks),0)</f>
        <v>7.60397053195561</v>
      </c>
      <c r="J31" s="24" t="n">
        <f aca="false">IF(TPBasis="NI TP",IF(H31&gt;0,H31,I31),G31)</f>
        <v>16.1182692307692</v>
      </c>
      <c r="K31" s="26" t="n">
        <f aca="false">IFERROR(F31/D31,0)</f>
        <v>0.194908253937703</v>
      </c>
      <c r="L31" s="27" t="n">
        <f aca="false">IFERROR(D31/E31,0)</f>
        <v>4795.84615384615</v>
      </c>
      <c r="M31" s="28" t="n">
        <f aca="false">IFERROR('District Data'!L31/'District Data'!K31-1,0)</f>
        <v>-0.0878023330881138</v>
      </c>
      <c r="N31" s="28" t="n">
        <f aca="false">IFERROR(('District Data'!L31/'District Data'!J31)^(1/2)-1,0)</f>
        <v>-0.0753062432757294</v>
      </c>
      <c r="O31" s="28" t="n">
        <f aca="false">IFERROR('District Data'!I31/'District Data'!H31-1,0)</f>
        <v>0.04</v>
      </c>
      <c r="P31" s="7" t="str">
        <f aca="false">IF(K31&gt;=PCC_L1,"Layer 01",IF(K31&gt;=PCC_L2,"Layer 02",IF(K31&gt;=PCC_L3,"Layer 03",IF(K31&gt;=PCC_L4,"Layer 04","Layer 05"))))</f>
        <v>Layer 05</v>
      </c>
      <c r="Q31" s="7" t="str">
        <f aca="false">IF(L31&gt;=PPO_L1,"Layer 01",IF(L31&gt;=PPO_L2,"Layer 02",IF(L31&gt;=PPO_L3,"Layer 03",IF(L31&gt;=PPO_L4,"Layer 04","Layer 05"))))</f>
        <v>Layer 03</v>
      </c>
      <c r="R31" s="29" t="n">
        <f aca="false">D31/IdealPPO-E31</f>
        <v>140.256</v>
      </c>
      <c r="S31" s="29" t="n">
        <f aca="false">IdealTP*Weeks-(Weeks*J31+FirstFill)</f>
        <v>-138.15</v>
      </c>
      <c r="T31" s="29" t="n">
        <f aca="false">IF(S31&gt;0,(F31-IdealTP*Weeks*E31)/S31,1000000000000)</f>
        <v>1000000000000</v>
      </c>
      <c r="U31" s="27" t="n">
        <f aca="false">IF(E31&lt;=0,0,IF(G31&lt;=IdealTP,0,IF(L31&lt;=IdealPPO,0,INT(MIN(T31,R31)+0.000000001))))</f>
        <v>140</v>
      </c>
      <c r="V31" s="7" t="str">
        <f aca="false">IF(E31&lt;=0,"No current outlets",IF(G31&lt;=IdealTP,"TP already at or below ideal",IF(L31&lt;=IdealPPO,"PPO already at or below ideal",IF(T31&lt;=R31,"Stopped by TP reaching ideal","Stopped by PPO reaching ideal"))))</f>
        <v>Stopped by PPO reaching ideal</v>
      </c>
      <c r="W31" s="30" t="n">
        <f aca="false">F31+U31*(Weeks*J31+FirstFill)</f>
        <v>152844.5</v>
      </c>
      <c r="X31" s="30" t="n">
        <f aca="false">E31+U31</f>
        <v>166</v>
      </c>
      <c r="Y31" s="24" t="n">
        <f aca="false">IFERROR(W31/(X31*Weeks),0)</f>
        <v>17.7067307692308</v>
      </c>
      <c r="Z31" s="30" t="n">
        <f aca="false">IFERROR(D31/X31,0)</f>
        <v>751.156626506024</v>
      </c>
      <c r="AA31" s="7" t="str">
        <f aca="false">IF(AND(K31&gt;=NationalPCC,L31&gt;IdealPPO),"Q1: High PCC, High PPO",IF(K31&gt;=NationalPCC,"Q2: High PCC, Low PPO",IF(L31&gt;IdealPPO,"Q3: Low PCC, High PPO","Q4: Low PCC, Low PPO")))</f>
        <v>Q3: Low PCC, High PPO</v>
      </c>
      <c r="AB31" s="7" t="str">
        <f aca="false">IF(K31&gt;=NationalPCC,IF(L31&gt;IdealPPO,"Phase 1","Phase 2"),"Phase 3")</f>
        <v>Phase 3</v>
      </c>
      <c r="AC31" s="7" t="str">
        <f aca="false">IF(AND(G31&gt;IdealTP,L31&gt;IdealPPO),"High TP, High PPO",IF(G31&gt;IdealTP,"High TP, Low PPO",IF(L31&gt;IdealPPO,"Low TP, High PPO","Low TP, Low PPO")))</f>
        <v>High TP, High PPO</v>
      </c>
      <c r="AD31" s="31" t="n">
        <f aca="false">INDEX(WaveNumbers,MATCH(C31,WaveNames,0))</f>
        <v>4</v>
      </c>
      <c r="AE31" s="32" t="n">
        <f aca="false">IF(U31&gt;0,AD31*10000000+VALUE(RIGHT(AB31,1))*1000000+(1000000-U31)+ROW()/1000000,"")</f>
        <v>43999860.000031</v>
      </c>
      <c r="AF31" s="31" t="n">
        <f aca="false">IF(U31&gt;0,COUNTIFS($AE$5:$AE$119,"&lt;"&amp;AE31)+1,"")</f>
        <v>40</v>
      </c>
      <c r="AG31" s="7" t="str">
        <f aca="false">IF(AF31="","No",IF(AF31&lt;=TopN,"Yes","No"))</f>
        <v>Yes</v>
      </c>
      <c r="AH31" s="30" t="n">
        <f aca="false">INT('District Data'!O31*ConvRate)</f>
        <v>8</v>
      </c>
      <c r="AI31" s="27" t="n">
        <f aca="false">MIN(U31,AH31)</f>
        <v>8</v>
      </c>
      <c r="AJ31" s="7" t="str">
        <f aca="false">IF(U31=0,"No expansion",IF(AH31&lt;U31,"Supply constrained (not enough shops)","Demand constrained (enough shops)"))</f>
        <v>Supply constrained (not enough shops)</v>
      </c>
      <c r="AK31" s="30" t="n">
        <f aca="false">IF(AG31="Yes",AI31,0)</f>
        <v>8</v>
      </c>
      <c r="AL31" s="26" t="n">
        <f aca="false">IF(AG31="Yes",IF(Budget1&gt;=ShortlistFinal,AK31,AK31/ShortlistFinal*Budget1),0)</f>
        <v>4.73022912047302</v>
      </c>
      <c r="AM31" s="30" t="n">
        <f aca="false">INT(AL31)</f>
        <v>4</v>
      </c>
      <c r="AN31" s="26" t="n">
        <f aca="false">IF(AND(AG31="Yes",Budget1&lt;ShortlistFinal),AL31-AM31,-1)</f>
        <v>0.730229120473023</v>
      </c>
      <c r="AO31" s="27" t="n">
        <f aca="false">IF(AG31&lt;&gt;"Yes",0,IF(Budget1&gt;=ShortlistFinal,AK31,AM31+IF(COUNTIFS($AN$5:$AN$119,"&gt;"&amp;AN31)+COUNTIFS($AN$5:$AN$119,AN31,$AF$5:$AF$119,"&lt;"&amp;AF31)&lt;Budget1-SUM($AM$5:$AM$119),1,0)))</f>
        <v>5</v>
      </c>
      <c r="AP31" s="26" t="n">
        <f aca="false">IF(AG31="Yes",IF(Budget2&gt;=ShortlistFinal,AK31,AK31/ShortlistFinal*Budget2),0)</f>
        <v>7.09534368070954</v>
      </c>
      <c r="AQ31" s="30" t="n">
        <f aca="false">INT(AP31)</f>
        <v>7</v>
      </c>
      <c r="AR31" s="26" t="n">
        <f aca="false">IF(AND(AG31="Yes",Budget2&lt;ShortlistFinal),AP31-AQ31,-1)</f>
        <v>0.0953436807095347</v>
      </c>
      <c r="AS31" s="27" t="n">
        <f aca="false">IF(AG31&lt;&gt;"Yes",0,IF(Budget2&gt;=ShortlistFinal,AK31,AQ31+IF(COUNTIFS($AR$5:$AR$119,"&gt;"&amp;AR31)+COUNTIFS($AR$5:$AR$119,AR31,$AF$5:$AF$119,"&lt;"&amp;AF31)&lt;Budget2-SUM($AQ$5:$AQ$119),1,0)))</f>
        <v>7</v>
      </c>
      <c r="AT31" s="26" t="n">
        <f aca="false">AK31*Share2025</f>
        <v>2.82352941176471</v>
      </c>
      <c r="AU31" s="26" t="n">
        <f aca="false">AK31*Share2026</f>
        <v>2.82352941176471</v>
      </c>
      <c r="AV31" s="26" t="n">
        <f aca="false">AK31*Share2027</f>
        <v>2.35294117647059</v>
      </c>
      <c r="AW31" s="31" t="n">
        <f aca="false">INT(AT31)</f>
        <v>2</v>
      </c>
      <c r="AX31" s="31" t="n">
        <f aca="false">INT(AU31)</f>
        <v>2</v>
      </c>
      <c r="AY31" s="31" t="n">
        <f aca="false">INT(AV31)</f>
        <v>2</v>
      </c>
      <c r="AZ31" s="26" t="n">
        <f aca="false">AT31-AW31</f>
        <v>0.823529411764707</v>
      </c>
      <c r="BA31" s="26" t="n">
        <f aca="false">AU31-AX31</f>
        <v>0.823529411764707</v>
      </c>
      <c r="BB31" s="26" t="n">
        <f aca="false">AV31-AY31</f>
        <v>0.352941176470588</v>
      </c>
      <c r="BC31" s="31" t="n">
        <f aca="false">AK31-AW31-AX31-AY31</f>
        <v>2</v>
      </c>
      <c r="BD31" s="27" t="n">
        <f aca="false">AW31+IF((BA31&gt;AZ31)+(BB31&gt;AZ31)&lt;BC31,1,0)</f>
        <v>3</v>
      </c>
      <c r="BE31" s="27" t="n">
        <f aca="false">AX31+IF((AZ31&gt;BA31)+(BB31&gt;BA31)+(AZ31=BA31)&lt;BC31,1,0)</f>
        <v>3</v>
      </c>
      <c r="BF31" s="27" t="n">
        <f aca="false">AY31+IF((AZ31&gt;BB31)+(BA31&gt;BB31)+(AZ31=BB31)+(BA31=BB31)&lt;BC31,1,0)</f>
        <v>2</v>
      </c>
    </row>
    <row r="32" customFormat="false" ht="15" hidden="false" customHeight="false" outlineLevel="0" collapsed="false">
      <c r="A32" s="22" t="str">
        <f aca="false">'District Data'!A32</f>
        <v>Haripur</v>
      </c>
      <c r="B32" s="22" t="str">
        <f aca="false">'District Data'!C32</f>
        <v>Islamabad Region</v>
      </c>
      <c r="C32" s="22" t="str">
        <f aca="false">'District Data'!D32</f>
        <v>Stronghold</v>
      </c>
      <c r="D32" s="23" t="n">
        <f aca="false">ROUND('District Data'!E32*'District Data'!F32,0)</f>
        <v>235256</v>
      </c>
      <c r="E32" s="23" t="n">
        <f aca="false">'District Data'!I32</f>
        <v>73</v>
      </c>
      <c r="F32" s="23" t="n">
        <f aca="false">'District Data'!L32</f>
        <v>49566</v>
      </c>
      <c r="G32" s="24" t="n">
        <f aca="false">IFERROR(F32/(E32*Weeks),0)</f>
        <v>13.0574288724974</v>
      </c>
      <c r="H32" s="25" t="n">
        <f aca="false">IFERROR('District Data'!N32/('District Data'!M32*Weeks),0)</f>
        <v>4.47884615384615</v>
      </c>
      <c r="I32" s="24" t="n">
        <f aca="false">IFERROR(SUMIFS('District Data'!$N$5:$N$119,'District Data'!$C$5:$C$119,B32)/(SUMIFS('District Data'!$M$5:$M$119,'District Data'!$C$5:$C$119,B32)*Weeks),0)</f>
        <v>8.40311578665237</v>
      </c>
      <c r="J32" s="24" t="n">
        <f aca="false">IF(TPBasis="NI TP",IF(H32&gt;0,H32,I32),G32)</f>
        <v>4.47884615384615</v>
      </c>
      <c r="K32" s="26" t="n">
        <f aca="false">IFERROR(F32/D32,0)</f>
        <v>0.210689631720339</v>
      </c>
      <c r="L32" s="27" t="n">
        <f aca="false">IFERROR(D32/E32,0)</f>
        <v>3222.68493150685</v>
      </c>
      <c r="M32" s="28" t="n">
        <f aca="false">IFERROR('District Data'!L32/'District Data'!K32-1,0)</f>
        <v>0.0225022279433609</v>
      </c>
      <c r="N32" s="28" t="n">
        <f aca="false">IFERROR(('District Data'!L32/'District Data'!J32)^(1/2)-1,0)</f>
        <v>0.0474255142202074</v>
      </c>
      <c r="O32" s="28" t="n">
        <f aca="false">IFERROR('District Data'!I32/'District Data'!H32-1,0)</f>
        <v>0.0735294117647058</v>
      </c>
      <c r="P32" s="7" t="str">
        <f aca="false">IF(K32&gt;=PCC_L1,"Layer 01",IF(K32&gt;=PCC_L2,"Layer 02",IF(K32&gt;=PCC_L3,"Layer 03",IF(K32&gt;=PCC_L4,"Layer 04","Layer 05"))))</f>
        <v>Layer 04</v>
      </c>
      <c r="Q32" s="7" t="str">
        <f aca="false">IF(L32&gt;=PPO_L1,"Layer 01",IF(L32&gt;=PPO_L2,"Layer 02",IF(L32&gt;=PPO_L3,"Layer 03",IF(L32&gt;=PPO_L4,"Layer 04","Layer 05"))))</f>
        <v>Layer 04</v>
      </c>
      <c r="R32" s="29" t="n">
        <f aca="false">D32/IdealPPO-E32</f>
        <v>240.674666666667</v>
      </c>
      <c r="S32" s="29" t="n">
        <f aca="false">IdealTP*Weeks-(Weeks*J32+FirstFill)</f>
        <v>467.1</v>
      </c>
      <c r="T32" s="29" t="n">
        <f aca="false">IF(S32&gt;0,(F32-IdealTP*Weeks*E32)/S32,1000000000000)</f>
        <v>-15.7867694283879</v>
      </c>
      <c r="U32" s="27" t="n">
        <f aca="false">IF(E32&lt;=0,0,IF(G32&lt;=IdealTP,0,IF(L32&lt;=IdealPPO,0,INT(MIN(T32,R32)+0.000000001))))</f>
        <v>0</v>
      </c>
      <c r="V32" s="7" t="str">
        <f aca="false">IF(E32&lt;=0,"No current outlets",IF(G32&lt;=IdealTP,"TP already at or below ideal",IF(L32&lt;=IdealPPO,"PPO already at or below ideal",IF(T32&lt;=R32,"Stopped by TP reaching ideal","Stopped by PPO reaching ideal"))))</f>
        <v>TP already at or below ideal</v>
      </c>
      <c r="W32" s="30" t="n">
        <f aca="false">F32+U32*(Weeks*J32+FirstFill)</f>
        <v>49566</v>
      </c>
      <c r="X32" s="30" t="n">
        <f aca="false">E32+U32</f>
        <v>73</v>
      </c>
      <c r="Y32" s="24" t="n">
        <f aca="false">IFERROR(W32/(X32*Weeks),0)</f>
        <v>13.0574288724974</v>
      </c>
      <c r="Z32" s="30" t="n">
        <f aca="false">IFERROR(D32/X32,0)</f>
        <v>3222.68493150685</v>
      </c>
      <c r="AA32" s="7" t="str">
        <f aca="false">IF(AND(K32&gt;=NationalPCC,L32&gt;IdealPPO),"Q1: High PCC, High PPO",IF(K32&gt;=NationalPCC,"Q2: High PCC, Low PPO",IF(L32&gt;IdealPPO,"Q3: Low PCC, High PPO","Q4: Low PCC, Low PPO")))</f>
        <v>Q3: Low PCC, High PPO</v>
      </c>
      <c r="AB32" s="7" t="str">
        <f aca="false">IF(K32&gt;=NationalPCC,IF(L32&gt;IdealPPO,"Phase 1","Phase 2"),"Phase 3")</f>
        <v>Phase 3</v>
      </c>
      <c r="AC32" s="7" t="str">
        <f aca="false">IF(AND(G32&gt;IdealTP,L32&gt;IdealPPO),"High TP, High PPO",IF(G32&gt;IdealTP,"High TP, Low PPO",IF(L32&gt;IdealPPO,"Low TP, High PPO","Low TP, Low PPO")))</f>
        <v>Low TP, High PPO</v>
      </c>
      <c r="AD32" s="31" t="n">
        <f aca="false">INDEX(WaveNumbers,MATCH(C32,WaveNames,0))</f>
        <v>1</v>
      </c>
      <c r="AE32" s="32" t="str">
        <f aca="false">IF(U32&gt;0,AD32*10000000+VALUE(RIGHT(AB32,1))*1000000+(1000000-U32)+ROW()/1000000,"")</f>
        <v/>
      </c>
      <c r="AF32" s="31" t="str">
        <f aca="false">IF(U32&gt;0,COUNTIFS($AE$5:$AE$119,"&lt;"&amp;AE32)+1,"")</f>
        <v/>
      </c>
      <c r="AG32" s="7" t="str">
        <f aca="false">IF(AF32="","No",IF(AF32&lt;=TopN,"Yes","No"))</f>
        <v>No</v>
      </c>
      <c r="AH32" s="30" t="n">
        <f aca="false">INT('District Data'!O32*ConvRate)</f>
        <v>17</v>
      </c>
      <c r="AI32" s="27" t="n">
        <f aca="false">MIN(U32,AH32)</f>
        <v>0</v>
      </c>
      <c r="AJ32" s="7" t="str">
        <f aca="false">IF(U32=0,"No expansion",IF(AH32&lt;U32,"Supply constrained (not enough shops)","Demand constrained (enough shops)"))</f>
        <v>No expansion</v>
      </c>
      <c r="AK32" s="30" t="n">
        <f aca="false">IF(AG32="Yes",AI32,0)</f>
        <v>0</v>
      </c>
      <c r="AL32" s="26" t="n">
        <f aca="false">IF(AG32="Yes",IF(Budget1&gt;=ShortlistFinal,AK32,AK32/ShortlistFinal*Budget1),0)</f>
        <v>0</v>
      </c>
      <c r="AM32" s="30" t="n">
        <f aca="false">INT(AL32)</f>
        <v>0</v>
      </c>
      <c r="AN32" s="26" t="n">
        <f aca="false">IF(AND(AG32="Yes",Budget1&lt;ShortlistFinal),AL32-AM32,-1)</f>
        <v>-1</v>
      </c>
      <c r="AO32" s="27" t="n">
        <f aca="false">IF(AG32&lt;&gt;"Yes",0,IF(Budget1&gt;=ShortlistFinal,AK32,AM32+IF(COUNTIFS($AN$5:$AN$119,"&gt;"&amp;AN32)+COUNTIFS($AN$5:$AN$119,AN32,$AF$5:$AF$119,"&lt;"&amp;AF32)&lt;Budget1-SUM($AM$5:$AM$119),1,0)))</f>
        <v>0</v>
      </c>
      <c r="AP32" s="26" t="n">
        <f aca="false">IF(AG32="Yes",IF(Budget2&gt;=ShortlistFinal,AK32,AK32/ShortlistFinal*Budget2),0)</f>
        <v>0</v>
      </c>
      <c r="AQ32" s="30" t="n">
        <f aca="false">INT(AP32)</f>
        <v>0</v>
      </c>
      <c r="AR32" s="26" t="n">
        <f aca="false">IF(AND(AG32="Yes",Budget2&lt;ShortlistFinal),AP32-AQ32,-1)</f>
        <v>-1</v>
      </c>
      <c r="AS32" s="27" t="n">
        <f aca="false">IF(AG32&lt;&gt;"Yes",0,IF(Budget2&gt;=ShortlistFinal,AK32,AQ32+IF(COUNTIFS($AR$5:$AR$119,"&gt;"&amp;AR32)+COUNTIFS($AR$5:$AR$119,AR32,$AF$5:$AF$119,"&lt;"&amp;AF32)&lt;Budget2-SUM($AQ$5:$AQ$119),1,0)))</f>
        <v>0</v>
      </c>
      <c r="AT32" s="26" t="n">
        <f aca="false">AK32*Share2025</f>
        <v>0</v>
      </c>
      <c r="AU32" s="26" t="n">
        <f aca="false">AK32*Share2026</f>
        <v>0</v>
      </c>
      <c r="AV32" s="26" t="n">
        <f aca="false">AK32*Share2027</f>
        <v>0</v>
      </c>
      <c r="AW32" s="31" t="n">
        <f aca="false">INT(AT32)</f>
        <v>0</v>
      </c>
      <c r="AX32" s="31" t="n">
        <f aca="false">INT(AU32)</f>
        <v>0</v>
      </c>
      <c r="AY32" s="31" t="n">
        <f aca="false">INT(AV32)</f>
        <v>0</v>
      </c>
      <c r="AZ32" s="26" t="n">
        <f aca="false">AT32-AW32</f>
        <v>0</v>
      </c>
      <c r="BA32" s="26" t="n">
        <f aca="false">AU32-AX32</f>
        <v>0</v>
      </c>
      <c r="BB32" s="26" t="n">
        <f aca="false">AV32-AY32</f>
        <v>0</v>
      </c>
      <c r="BC32" s="31" t="n">
        <f aca="false">AK32-AW32-AX32-AY32</f>
        <v>0</v>
      </c>
      <c r="BD32" s="27" t="n">
        <f aca="false">AW32+IF((BA32&gt;AZ32)+(BB32&gt;AZ32)&lt;BC32,1,0)</f>
        <v>0</v>
      </c>
      <c r="BE32" s="27" t="n">
        <f aca="false">AX32+IF((AZ32&gt;BA32)+(BB32&gt;BA32)+(AZ32=BA32)&lt;BC32,1,0)</f>
        <v>0</v>
      </c>
      <c r="BF32" s="27" t="n">
        <f aca="false">AY32+IF((AZ32&gt;BB32)+(BA32&gt;BB32)+(AZ32=BB32)+(BA32=BB32)&lt;BC32,1,0)</f>
        <v>0</v>
      </c>
    </row>
    <row r="33" customFormat="false" ht="15" hidden="false" customHeight="false" outlineLevel="0" collapsed="false">
      <c r="A33" s="22" t="str">
        <f aca="false">'District Data'!A33</f>
        <v>Hyderabad</v>
      </c>
      <c r="B33" s="22" t="str">
        <f aca="false">'District Data'!C33</f>
        <v>Karachi Region</v>
      </c>
      <c r="C33" s="22" t="str">
        <f aca="false">'District Data'!D33</f>
        <v>Stronghold</v>
      </c>
      <c r="D33" s="23" t="n">
        <f aca="false">ROUND('District Data'!E33*'District Data'!F33,0)</f>
        <v>1649909</v>
      </c>
      <c r="E33" s="23" t="n">
        <f aca="false">'District Data'!I33</f>
        <v>2003</v>
      </c>
      <c r="F33" s="23" t="n">
        <f aca="false">'District Data'!L33</f>
        <v>1867284</v>
      </c>
      <c r="G33" s="24" t="n">
        <f aca="false">IFERROR(F33/(E33*Weeks),0)</f>
        <v>17.9277622028496</v>
      </c>
      <c r="H33" s="25" t="n">
        <f aca="false">IFERROR('District Data'!N33/('District Data'!M33*Weeks),0)</f>
        <v>10.694086113002</v>
      </c>
      <c r="I33" s="24" t="n">
        <f aca="false">IFERROR(SUMIFS('District Data'!$N$5:$N$119,'District Data'!$C$5:$C$119,B33)/(SUMIFS('District Data'!$M$5:$M$119,'District Data'!$C$5:$C$119,B33)*Weeks),0)</f>
        <v>12.952446872194</v>
      </c>
      <c r="J33" s="24" t="n">
        <f aca="false">IF(TPBasis="NI TP",IF(H33&gt;0,H33,I33),G33)</f>
        <v>10.694086113002</v>
      </c>
      <c r="K33" s="26" t="n">
        <f aca="false">IFERROR(F33/D33,0)</f>
        <v>1.13174969043747</v>
      </c>
      <c r="L33" s="27" t="n">
        <f aca="false">IFERROR(D33/E33,0)</f>
        <v>823.718921617574</v>
      </c>
      <c r="M33" s="28" t="n">
        <f aca="false">IFERROR('District Data'!L33/'District Data'!K33-1,0)</f>
        <v>0.0379666241370749</v>
      </c>
      <c r="N33" s="28" t="n">
        <f aca="false">IFERROR(('District Data'!L33/'District Data'!J33)^(1/2)-1,0)</f>
        <v>0.0347783004315008</v>
      </c>
      <c r="O33" s="28" t="n">
        <f aca="false">IFERROR('District Data'!I33/'District Data'!H33-1,0)</f>
        <v>0.0832882639264467</v>
      </c>
      <c r="P33" s="7" t="str">
        <f aca="false">IF(K33&gt;=PCC_L1,"Layer 01",IF(K33&gt;=PCC_L2,"Layer 02",IF(K33&gt;=PCC_L3,"Layer 03",IF(K33&gt;=PCC_L4,"Layer 04","Layer 05"))))</f>
        <v>Layer 02</v>
      </c>
      <c r="Q33" s="7" t="str">
        <f aca="false">IF(L33&gt;=PPO_L1,"Layer 01",IF(L33&gt;=PPO_L2,"Layer 02",IF(L33&gt;=PPO_L3,"Layer 03",IF(L33&gt;=PPO_L4,"Layer 04","Layer 05"))))</f>
        <v>Layer 05</v>
      </c>
      <c r="R33" s="29" t="n">
        <f aca="false">D33/IdealPPO-E33</f>
        <v>196.878666666667</v>
      </c>
      <c r="S33" s="29" t="n">
        <f aca="false">IdealTP*Weeks-(Weeks*J33+FirstFill)</f>
        <v>143.907522123894</v>
      </c>
      <c r="T33" s="29" t="n">
        <f aca="false">IF(S33&gt;0,(F33-IdealTP*Weeks*E33)/S33,1000000000000)</f>
        <v>2119.02752197669</v>
      </c>
      <c r="U33" s="27" t="n">
        <f aca="false">IF(E33&lt;=0,0,IF(G33&lt;=IdealTP,0,IF(L33&lt;=IdealPPO,0,INT(MIN(T33,R33)+0.000000001))))</f>
        <v>196</v>
      </c>
      <c r="V33" s="7" t="str">
        <f aca="false">IF(E33&lt;=0,"No current outlets",IF(G33&lt;=IdealTP,"TP already at or below ideal",IF(L33&lt;=IdealPPO,"PPO already at or below ideal",IF(T33&lt;=R33,"Stopped by TP reaching ideal","Stopped by PPO reaching ideal"))))</f>
        <v>Stopped by PPO reaching ideal</v>
      </c>
      <c r="W33" s="30" t="n">
        <f aca="false">F33+U33*(Weeks*J33+FirstFill)</f>
        <v>1991958.12566372</v>
      </c>
      <c r="X33" s="30" t="n">
        <f aca="false">E33+U33</f>
        <v>2199</v>
      </c>
      <c r="Y33" s="24" t="n">
        <f aca="false">IFERROR(W33/(X33*Weeks),0)</f>
        <v>17.4201396234627</v>
      </c>
      <c r="Z33" s="30" t="n">
        <f aca="false">IFERROR(D33/X33,0)</f>
        <v>750.299681673488</v>
      </c>
      <c r="AA33" s="7" t="str">
        <f aca="false">IF(AND(K33&gt;=NationalPCC,L33&gt;IdealPPO),"Q1: High PCC, High PPO",IF(K33&gt;=NationalPCC,"Q2: High PCC, Low PPO",IF(L33&gt;IdealPPO,"Q3: Low PCC, High PPO","Q4: Low PCC, Low PPO")))</f>
        <v>Q1: High PCC, High PPO</v>
      </c>
      <c r="AB33" s="7" t="str">
        <f aca="false">IF(K33&gt;=NationalPCC,IF(L33&gt;IdealPPO,"Phase 1","Phase 2"),"Phase 3")</f>
        <v>Phase 1</v>
      </c>
      <c r="AC33" s="7" t="str">
        <f aca="false">IF(AND(G33&gt;IdealTP,L33&gt;IdealPPO),"High TP, High PPO",IF(G33&gt;IdealTP,"High TP, Low PPO",IF(L33&gt;IdealPPO,"Low TP, High PPO","Low TP, Low PPO")))</f>
        <v>High TP, High PPO</v>
      </c>
      <c r="AD33" s="31" t="n">
        <f aca="false">INDEX(WaveNumbers,MATCH(C33,WaveNames,0))</f>
        <v>1</v>
      </c>
      <c r="AE33" s="32" t="n">
        <f aca="false">IF(U33&gt;0,AD33*10000000+VALUE(RIGHT(AB33,1))*1000000+(1000000-U33)+ROW()/1000000,"")</f>
        <v>11999804.000033</v>
      </c>
      <c r="AF33" s="31" t="n">
        <f aca="false">IF(U33&gt;0,COUNTIFS($AE$5:$AE$119,"&lt;"&amp;AE33)+1,"")</f>
        <v>7</v>
      </c>
      <c r="AG33" s="7" t="str">
        <f aca="false">IF(AF33="","No",IF(AF33&lt;=TopN,"Yes","No"))</f>
        <v>Yes</v>
      </c>
      <c r="AH33" s="30" t="n">
        <f aca="false">INT('District Data'!O33*ConvRate)</f>
        <v>308</v>
      </c>
      <c r="AI33" s="27" t="n">
        <f aca="false">MIN(U33,AH33)</f>
        <v>196</v>
      </c>
      <c r="AJ33" s="7" t="str">
        <f aca="false">IF(U33=0,"No expansion",IF(AH33&lt;U33,"Supply constrained (not enough shops)","Demand constrained (enough shops)"))</f>
        <v>Demand constrained (enough shops)</v>
      </c>
      <c r="AK33" s="30" t="n">
        <f aca="false">IF(AG33="Yes",AI33,0)</f>
        <v>196</v>
      </c>
      <c r="AL33" s="26" t="n">
        <f aca="false">IF(AG33="Yes",IF(Budget1&gt;=ShortlistFinal,AK33,AK33/ShortlistFinal*Budget1),0)</f>
        <v>115.890613451589</v>
      </c>
      <c r="AM33" s="30" t="n">
        <f aca="false">INT(AL33)</f>
        <v>115</v>
      </c>
      <c r="AN33" s="26" t="n">
        <f aca="false">IF(AND(AG33="Yes",Budget1&lt;ShortlistFinal),AL33-AM33,-1)</f>
        <v>0.890613451589061</v>
      </c>
      <c r="AO33" s="27" t="n">
        <f aca="false">IF(AG33&lt;&gt;"Yes",0,IF(Budget1&gt;=ShortlistFinal,AK33,AM33+IF(COUNTIFS($AN$5:$AN$119,"&gt;"&amp;AN33)+COUNTIFS($AN$5:$AN$119,AN33,$AF$5:$AF$119,"&lt;"&amp;AF33)&lt;Budget1-SUM($AM$5:$AM$119),1,0)))</f>
        <v>116</v>
      </c>
      <c r="AP33" s="26" t="n">
        <f aca="false">IF(AG33="Yes",IF(Budget2&gt;=ShortlistFinal,AK33,AK33/ShortlistFinal*Budget2),0)</f>
        <v>173.835920177384</v>
      </c>
      <c r="AQ33" s="30" t="n">
        <f aca="false">INT(AP33)</f>
        <v>173</v>
      </c>
      <c r="AR33" s="26" t="n">
        <f aca="false">IF(AND(AG33="Yes",Budget2&lt;ShortlistFinal),AP33-AQ33,-1)</f>
        <v>0.835920177383599</v>
      </c>
      <c r="AS33" s="27" t="n">
        <f aca="false">IF(AG33&lt;&gt;"Yes",0,IF(Budget2&gt;=ShortlistFinal,AK33,AQ33+IF(COUNTIFS($AR$5:$AR$119,"&gt;"&amp;AR33)+COUNTIFS($AR$5:$AR$119,AR33,$AF$5:$AF$119,"&lt;"&amp;AF33)&lt;Budget2-SUM($AQ$5:$AQ$119),1,0)))</f>
        <v>174</v>
      </c>
      <c r="AT33" s="26" t="n">
        <f aca="false">AK33*Share2025</f>
        <v>69.1764705882353</v>
      </c>
      <c r="AU33" s="26" t="n">
        <f aca="false">AK33*Share2026</f>
        <v>69.1764705882353</v>
      </c>
      <c r="AV33" s="26" t="n">
        <f aca="false">AK33*Share2027</f>
        <v>57.6470588235294</v>
      </c>
      <c r="AW33" s="31" t="n">
        <f aca="false">INT(AT33)</f>
        <v>69</v>
      </c>
      <c r="AX33" s="31" t="n">
        <f aca="false">INT(AU33)</f>
        <v>69</v>
      </c>
      <c r="AY33" s="31" t="n">
        <f aca="false">INT(AV33)</f>
        <v>57</v>
      </c>
      <c r="AZ33" s="26" t="n">
        <f aca="false">AT33-AW33</f>
        <v>0.176470588235304</v>
      </c>
      <c r="BA33" s="26" t="n">
        <f aca="false">AU33-AX33</f>
        <v>0.176470588235304</v>
      </c>
      <c r="BB33" s="26" t="n">
        <f aca="false">AV33-AY33</f>
        <v>0.647058823529406</v>
      </c>
      <c r="BC33" s="31" t="n">
        <f aca="false">AK33-AW33-AX33-AY33</f>
        <v>1</v>
      </c>
      <c r="BD33" s="27" t="n">
        <f aca="false">AW33+IF((BA33&gt;AZ33)+(BB33&gt;AZ33)&lt;BC33,1,0)</f>
        <v>69</v>
      </c>
      <c r="BE33" s="27" t="n">
        <f aca="false">AX33+IF((AZ33&gt;BA33)+(BB33&gt;BA33)+(AZ33=BA33)&lt;BC33,1,0)</f>
        <v>69</v>
      </c>
      <c r="BF33" s="27" t="n">
        <f aca="false">AY33+IF((AZ33&gt;BB33)+(BA33&gt;BB33)+(AZ33=BB33)+(BA33=BB33)&lt;BC33,1,0)</f>
        <v>58</v>
      </c>
    </row>
    <row r="34" customFormat="false" ht="15" hidden="false" customHeight="false" outlineLevel="0" collapsed="false">
      <c r="A34" s="22" t="str">
        <f aca="false">'District Data'!A34</f>
        <v>Islamabad Capital Territory</v>
      </c>
      <c r="B34" s="22" t="str">
        <f aca="false">'District Data'!C34</f>
        <v>Islamabad Region</v>
      </c>
      <c r="C34" s="22" t="str">
        <f aca="false">'District Data'!D34</f>
        <v>Stronghold</v>
      </c>
      <c r="D34" s="23" t="n">
        <f aca="false">ROUND('District Data'!E34*'District Data'!F34,0)</f>
        <v>840765</v>
      </c>
      <c r="E34" s="23" t="n">
        <f aca="false">'District Data'!I34</f>
        <v>455</v>
      </c>
      <c r="F34" s="23" t="n">
        <f aca="false">'District Data'!L34</f>
        <v>345504.3</v>
      </c>
      <c r="G34" s="24" t="n">
        <f aca="false">IFERROR(F34/(E34*Weeks),0)</f>
        <v>14.602886728656</v>
      </c>
      <c r="H34" s="25" t="n">
        <f aca="false">IFERROR('District Data'!N34/('District Data'!M34*Weeks),0)</f>
        <v>5.41701923076923</v>
      </c>
      <c r="I34" s="24" t="n">
        <f aca="false">IFERROR(SUMIFS('District Data'!$N$5:$N$119,'District Data'!$C$5:$C$119,B34)/(SUMIFS('District Data'!$M$5:$M$119,'District Data'!$C$5:$C$119,B34)*Weeks),0)</f>
        <v>8.40311578665237</v>
      </c>
      <c r="J34" s="24" t="n">
        <f aca="false">IF(TPBasis="NI TP",IF(H34&gt;0,H34,I34),G34)</f>
        <v>5.41701923076923</v>
      </c>
      <c r="K34" s="26" t="n">
        <f aca="false">IFERROR(F34/D34,0)</f>
        <v>0.410940393570141</v>
      </c>
      <c r="L34" s="27" t="n">
        <f aca="false">IFERROR(D34/E34,0)</f>
        <v>1847.83516483516</v>
      </c>
      <c r="M34" s="28" t="n">
        <f aca="false">IFERROR('District Data'!L34/'District Data'!K34-1,0)</f>
        <v>-0.00700805046348152</v>
      </c>
      <c r="N34" s="28" t="n">
        <f aca="false">IFERROR(('District Data'!L34/'District Data'!J34)^(1/2)-1,0)</f>
        <v>0.0163704706930934</v>
      </c>
      <c r="O34" s="28" t="n">
        <f aca="false">IFERROR('District Data'!I34/'District Data'!H34-1,0)</f>
        <v>0.0364464692482915</v>
      </c>
      <c r="P34" s="7" t="str">
        <f aca="false">IF(K34&gt;=PCC_L1,"Layer 01",IF(K34&gt;=PCC_L2,"Layer 02",IF(K34&gt;=PCC_L3,"Layer 03",IF(K34&gt;=PCC_L4,"Layer 04","Layer 05"))))</f>
        <v>Layer 04</v>
      </c>
      <c r="Q34" s="7" t="str">
        <f aca="false">IF(L34&gt;=PPO_L1,"Layer 01",IF(L34&gt;=PPO_L2,"Layer 02",IF(L34&gt;=PPO_L3,"Layer 03",IF(L34&gt;=PPO_L4,"Layer 04","Layer 05"))))</f>
        <v>Layer 04</v>
      </c>
      <c r="R34" s="29" t="n">
        <f aca="false">D34/IdealPPO-E34</f>
        <v>666.02</v>
      </c>
      <c r="S34" s="29" t="n">
        <f aca="false">IdealTP*Weeks-(Weeks*J34+FirstFill)</f>
        <v>418.315</v>
      </c>
      <c r="T34" s="29" t="n">
        <f aca="false">IF(S34&gt;0,(F34-IdealTP*Weeks*E34)/S34,1000000000000)</f>
        <v>-22.4608249763934</v>
      </c>
      <c r="U34" s="27" t="n">
        <f aca="false">IF(E34&lt;=0,0,IF(G34&lt;=IdealTP,0,IF(L34&lt;=IdealPPO,0,INT(MIN(T34,R34)+0.000000001))))</f>
        <v>0</v>
      </c>
      <c r="V34" s="7" t="str">
        <f aca="false">IF(E34&lt;=0,"No current outlets",IF(G34&lt;=IdealTP,"TP already at or below ideal",IF(L34&lt;=IdealPPO,"PPO already at or below ideal",IF(T34&lt;=R34,"Stopped by TP reaching ideal","Stopped by PPO reaching ideal"))))</f>
        <v>TP already at or below ideal</v>
      </c>
      <c r="W34" s="30" t="n">
        <f aca="false">F34+U34*(Weeks*J34+FirstFill)</f>
        <v>345504.3</v>
      </c>
      <c r="X34" s="30" t="n">
        <f aca="false">E34+U34</f>
        <v>455</v>
      </c>
      <c r="Y34" s="24" t="n">
        <f aca="false">IFERROR(W34/(X34*Weeks),0)</f>
        <v>14.602886728656</v>
      </c>
      <c r="Z34" s="30" t="n">
        <f aca="false">IFERROR(D34/X34,0)</f>
        <v>1847.83516483516</v>
      </c>
      <c r="AA34" s="7" t="str">
        <f aca="false">IF(AND(K34&gt;=NationalPCC,L34&gt;IdealPPO),"Q1: High PCC, High PPO",IF(K34&gt;=NationalPCC,"Q2: High PCC, Low PPO",IF(L34&gt;IdealPPO,"Q3: Low PCC, High PPO","Q4: Low PCC, Low PPO")))</f>
        <v>Q3: Low PCC, High PPO</v>
      </c>
      <c r="AB34" s="7" t="str">
        <f aca="false">IF(K34&gt;=NationalPCC,IF(L34&gt;IdealPPO,"Phase 1","Phase 2"),"Phase 3")</f>
        <v>Phase 3</v>
      </c>
      <c r="AC34" s="7" t="str">
        <f aca="false">IF(AND(G34&gt;IdealTP,L34&gt;IdealPPO),"High TP, High PPO",IF(G34&gt;IdealTP,"High TP, Low PPO",IF(L34&gt;IdealPPO,"Low TP, High PPO","Low TP, Low PPO")))</f>
        <v>Low TP, High PPO</v>
      </c>
      <c r="AD34" s="31" t="n">
        <f aca="false">INDEX(WaveNumbers,MATCH(C34,WaveNames,0))</f>
        <v>1</v>
      </c>
      <c r="AE34" s="32" t="str">
        <f aca="false">IF(U34&gt;0,AD34*10000000+VALUE(RIGHT(AB34,1))*1000000+(1000000-U34)+ROW()/1000000,"")</f>
        <v/>
      </c>
      <c r="AF34" s="31" t="str">
        <f aca="false">IF(U34&gt;0,COUNTIFS($AE$5:$AE$119,"&lt;"&amp;AE34)+1,"")</f>
        <v/>
      </c>
      <c r="AG34" s="7" t="str">
        <f aca="false">IF(AF34="","No",IF(AF34&lt;=TopN,"Yes","No"))</f>
        <v>No</v>
      </c>
      <c r="AH34" s="30" t="n">
        <f aca="false">INT('District Data'!O34*ConvRate)</f>
        <v>76</v>
      </c>
      <c r="AI34" s="27" t="n">
        <f aca="false">MIN(U34,AH34)</f>
        <v>0</v>
      </c>
      <c r="AJ34" s="7" t="str">
        <f aca="false">IF(U34=0,"No expansion",IF(AH34&lt;U34,"Supply constrained (not enough shops)","Demand constrained (enough shops)"))</f>
        <v>No expansion</v>
      </c>
      <c r="AK34" s="30" t="n">
        <f aca="false">IF(AG34="Yes",AI34,0)</f>
        <v>0</v>
      </c>
      <c r="AL34" s="26" t="n">
        <f aca="false">IF(AG34="Yes",IF(Budget1&gt;=ShortlistFinal,AK34,AK34/ShortlistFinal*Budget1),0)</f>
        <v>0</v>
      </c>
      <c r="AM34" s="30" t="n">
        <f aca="false">INT(AL34)</f>
        <v>0</v>
      </c>
      <c r="AN34" s="26" t="n">
        <f aca="false">IF(AND(AG34="Yes",Budget1&lt;ShortlistFinal),AL34-AM34,-1)</f>
        <v>-1</v>
      </c>
      <c r="AO34" s="27" t="n">
        <f aca="false">IF(AG34&lt;&gt;"Yes",0,IF(Budget1&gt;=ShortlistFinal,AK34,AM34+IF(COUNTIFS($AN$5:$AN$119,"&gt;"&amp;AN34)+COUNTIFS($AN$5:$AN$119,AN34,$AF$5:$AF$119,"&lt;"&amp;AF34)&lt;Budget1-SUM($AM$5:$AM$119),1,0)))</f>
        <v>0</v>
      </c>
      <c r="AP34" s="26" t="n">
        <f aca="false">IF(AG34="Yes",IF(Budget2&gt;=ShortlistFinal,AK34,AK34/ShortlistFinal*Budget2),0)</f>
        <v>0</v>
      </c>
      <c r="AQ34" s="30" t="n">
        <f aca="false">INT(AP34)</f>
        <v>0</v>
      </c>
      <c r="AR34" s="26" t="n">
        <f aca="false">IF(AND(AG34="Yes",Budget2&lt;ShortlistFinal),AP34-AQ34,-1)</f>
        <v>-1</v>
      </c>
      <c r="AS34" s="27" t="n">
        <f aca="false">IF(AG34&lt;&gt;"Yes",0,IF(Budget2&gt;=ShortlistFinal,AK34,AQ34+IF(COUNTIFS($AR$5:$AR$119,"&gt;"&amp;AR34)+COUNTIFS($AR$5:$AR$119,AR34,$AF$5:$AF$119,"&lt;"&amp;AF34)&lt;Budget2-SUM($AQ$5:$AQ$119),1,0)))</f>
        <v>0</v>
      </c>
      <c r="AT34" s="26" t="n">
        <f aca="false">AK34*Share2025</f>
        <v>0</v>
      </c>
      <c r="AU34" s="26" t="n">
        <f aca="false">AK34*Share2026</f>
        <v>0</v>
      </c>
      <c r="AV34" s="26" t="n">
        <f aca="false">AK34*Share2027</f>
        <v>0</v>
      </c>
      <c r="AW34" s="31" t="n">
        <f aca="false">INT(AT34)</f>
        <v>0</v>
      </c>
      <c r="AX34" s="31" t="n">
        <f aca="false">INT(AU34)</f>
        <v>0</v>
      </c>
      <c r="AY34" s="31" t="n">
        <f aca="false">INT(AV34)</f>
        <v>0</v>
      </c>
      <c r="AZ34" s="26" t="n">
        <f aca="false">AT34-AW34</f>
        <v>0</v>
      </c>
      <c r="BA34" s="26" t="n">
        <f aca="false">AU34-AX34</f>
        <v>0</v>
      </c>
      <c r="BB34" s="26" t="n">
        <f aca="false">AV34-AY34</f>
        <v>0</v>
      </c>
      <c r="BC34" s="31" t="n">
        <f aca="false">AK34-AW34-AX34-AY34</f>
        <v>0</v>
      </c>
      <c r="BD34" s="27" t="n">
        <f aca="false">AW34+IF((BA34&gt;AZ34)+(BB34&gt;AZ34)&lt;BC34,1,0)</f>
        <v>0</v>
      </c>
      <c r="BE34" s="27" t="n">
        <f aca="false">AX34+IF((AZ34&gt;BA34)+(BB34&gt;BA34)+(AZ34=BA34)&lt;BC34,1,0)</f>
        <v>0</v>
      </c>
      <c r="BF34" s="27" t="n">
        <f aca="false">AY34+IF((AZ34&gt;BB34)+(BA34&gt;BB34)+(AZ34=BB34)+(BA34=BB34)&lt;BC34,1,0)</f>
        <v>0</v>
      </c>
    </row>
    <row r="35" customFormat="false" ht="15" hidden="false" customHeight="false" outlineLevel="0" collapsed="false">
      <c r="A35" s="22" t="str">
        <f aca="false">'District Data'!A35</f>
        <v>Jacobabad</v>
      </c>
      <c r="B35" s="22" t="str">
        <f aca="false">'District Data'!C35</f>
        <v>Multan Region</v>
      </c>
      <c r="C35" s="22" t="str">
        <f aca="false">'District Data'!D35</f>
        <v>Rest</v>
      </c>
      <c r="D35" s="23" t="n">
        <f aca="false">ROUND('District Data'!E35*'District Data'!F35,0)</f>
        <v>361359</v>
      </c>
      <c r="E35" s="23" t="n">
        <f aca="false">'District Data'!I35</f>
        <v>33</v>
      </c>
      <c r="F35" s="23" t="n">
        <f aca="false">'District Data'!L35</f>
        <v>21135.4</v>
      </c>
      <c r="G35" s="24" t="n">
        <f aca="false">IFERROR(F35/(E35*Weeks),0)</f>
        <v>12.3166666666667</v>
      </c>
      <c r="H35" s="25" t="n">
        <f aca="false">IFERROR('District Data'!N35/('District Data'!M35*Weeks),0)</f>
        <v>5.93717948717949</v>
      </c>
      <c r="I35" s="24" t="n">
        <f aca="false">IFERROR(SUMIFS('District Data'!$N$5:$N$119,'District Data'!$C$5:$C$119,B35)/(SUMIFS('District Data'!$M$5:$M$119,'District Data'!$C$5:$C$119,B35)*Weeks),0)</f>
        <v>8.16663285109386</v>
      </c>
      <c r="J35" s="24" t="n">
        <f aca="false">IF(TPBasis="NI TP",IF(H35&gt;0,H35,I35),G35)</f>
        <v>5.93717948717949</v>
      </c>
      <c r="K35" s="26" t="n">
        <f aca="false">IFERROR(F35/D35,0)</f>
        <v>0.0584886497914816</v>
      </c>
      <c r="L35" s="27" t="n">
        <f aca="false">IFERROR(D35/E35,0)</f>
        <v>10950.2727272727</v>
      </c>
      <c r="M35" s="28" t="n">
        <f aca="false">IFERROR('District Data'!L35/'District Data'!K35-1,0)</f>
        <v>-0.0264267058514631</v>
      </c>
      <c r="N35" s="28" t="n">
        <f aca="false">IFERROR(('District Data'!L35/'District Data'!J35)^(1/2)-1,0)</f>
        <v>-0.0305940512071031</v>
      </c>
      <c r="O35" s="28" t="n">
        <f aca="false">IFERROR('District Data'!I35/'District Data'!H35-1,0)</f>
        <v>0.064516129032258</v>
      </c>
      <c r="P35" s="7" t="str">
        <f aca="false">IF(K35&gt;=PCC_L1,"Layer 01",IF(K35&gt;=PCC_L2,"Layer 02",IF(K35&gt;=PCC_L3,"Layer 03",IF(K35&gt;=PCC_L4,"Layer 04","Layer 05"))))</f>
        <v>Layer 05</v>
      </c>
      <c r="Q35" s="7" t="str">
        <f aca="false">IF(L35&gt;=PPO_L1,"Layer 01",IF(L35&gt;=PPO_L2,"Layer 02",IF(L35&gt;=PPO_L3,"Layer 03",IF(L35&gt;=PPO_L4,"Layer 04","Layer 05"))))</f>
        <v>Layer 03</v>
      </c>
      <c r="R35" s="29" t="n">
        <f aca="false">D35/IdealPPO-E35</f>
        <v>448.812</v>
      </c>
      <c r="S35" s="29" t="n">
        <f aca="false">IdealTP*Weeks-(Weeks*J35+FirstFill)</f>
        <v>391.266666666667</v>
      </c>
      <c r="T35" s="29" t="n">
        <f aca="false">IF(S35&gt;0,(F35-IdealTP*Weeks*E35)/S35,1000000000000)</f>
        <v>-11.768444368717</v>
      </c>
      <c r="U35" s="27" t="n">
        <f aca="false">IF(E35&lt;=0,0,IF(G35&lt;=IdealTP,0,IF(L35&lt;=IdealPPO,0,INT(MIN(T35,R35)+0.000000001))))</f>
        <v>0</v>
      </c>
      <c r="V35" s="7" t="str">
        <f aca="false">IF(E35&lt;=0,"No current outlets",IF(G35&lt;=IdealTP,"TP already at or below ideal",IF(L35&lt;=IdealPPO,"PPO already at or below ideal",IF(T35&lt;=R35,"Stopped by TP reaching ideal","Stopped by PPO reaching ideal"))))</f>
        <v>TP already at or below ideal</v>
      </c>
      <c r="W35" s="30" t="n">
        <f aca="false">F35+U35*(Weeks*J35+FirstFill)</f>
        <v>21135.4</v>
      </c>
      <c r="X35" s="30" t="n">
        <f aca="false">E35+U35</f>
        <v>33</v>
      </c>
      <c r="Y35" s="24" t="n">
        <f aca="false">IFERROR(W35/(X35*Weeks),0)</f>
        <v>12.3166666666667</v>
      </c>
      <c r="Z35" s="30" t="n">
        <f aca="false">IFERROR(D35/X35,0)</f>
        <v>10950.2727272727</v>
      </c>
      <c r="AA35" s="7" t="str">
        <f aca="false">IF(AND(K35&gt;=NationalPCC,L35&gt;IdealPPO),"Q1: High PCC, High PPO",IF(K35&gt;=NationalPCC,"Q2: High PCC, Low PPO",IF(L35&gt;IdealPPO,"Q3: Low PCC, High PPO","Q4: Low PCC, Low PPO")))</f>
        <v>Q3: Low PCC, High PPO</v>
      </c>
      <c r="AB35" s="7" t="str">
        <f aca="false">IF(K35&gt;=NationalPCC,IF(L35&gt;IdealPPO,"Phase 1","Phase 2"),"Phase 3")</f>
        <v>Phase 3</v>
      </c>
      <c r="AC35" s="7" t="str">
        <f aca="false">IF(AND(G35&gt;IdealTP,L35&gt;IdealPPO),"High TP, High PPO",IF(G35&gt;IdealTP,"High TP, Low PPO",IF(L35&gt;IdealPPO,"Low TP, High PPO","Low TP, Low PPO")))</f>
        <v>Low TP, High PPO</v>
      </c>
      <c r="AD35" s="31" t="n">
        <f aca="false">INDEX(WaveNumbers,MATCH(C35,WaveNames,0))</f>
        <v>4</v>
      </c>
      <c r="AE35" s="32" t="str">
        <f aca="false">IF(U35&gt;0,AD35*10000000+VALUE(RIGHT(AB35,1))*1000000+(1000000-U35)+ROW()/1000000,"")</f>
        <v/>
      </c>
      <c r="AF35" s="31" t="str">
        <f aca="false">IF(U35&gt;0,COUNTIFS($AE$5:$AE$119,"&lt;"&amp;AE35)+1,"")</f>
        <v/>
      </c>
      <c r="AG35" s="7" t="str">
        <f aca="false">IF(AF35="","No",IF(AF35&lt;=TopN,"Yes","No"))</f>
        <v>No</v>
      </c>
      <c r="AH35" s="30" t="n">
        <f aca="false">INT('District Data'!O35*ConvRate)</f>
        <v>38</v>
      </c>
      <c r="AI35" s="27" t="n">
        <f aca="false">MIN(U35,AH35)</f>
        <v>0</v>
      </c>
      <c r="AJ35" s="7" t="str">
        <f aca="false">IF(U35=0,"No expansion",IF(AH35&lt;U35,"Supply constrained (not enough shops)","Demand constrained (enough shops)"))</f>
        <v>No expansion</v>
      </c>
      <c r="AK35" s="30" t="n">
        <f aca="false">IF(AG35="Yes",AI35,0)</f>
        <v>0</v>
      </c>
      <c r="AL35" s="26" t="n">
        <f aca="false">IF(AG35="Yes",IF(Budget1&gt;=ShortlistFinal,AK35,AK35/ShortlistFinal*Budget1),0)</f>
        <v>0</v>
      </c>
      <c r="AM35" s="30" t="n">
        <f aca="false">INT(AL35)</f>
        <v>0</v>
      </c>
      <c r="AN35" s="26" t="n">
        <f aca="false">IF(AND(AG35="Yes",Budget1&lt;ShortlistFinal),AL35-AM35,-1)</f>
        <v>-1</v>
      </c>
      <c r="AO35" s="27" t="n">
        <f aca="false">IF(AG35&lt;&gt;"Yes",0,IF(Budget1&gt;=ShortlistFinal,AK35,AM35+IF(COUNTIFS($AN$5:$AN$119,"&gt;"&amp;AN35)+COUNTIFS($AN$5:$AN$119,AN35,$AF$5:$AF$119,"&lt;"&amp;AF35)&lt;Budget1-SUM($AM$5:$AM$119),1,0)))</f>
        <v>0</v>
      </c>
      <c r="AP35" s="26" t="n">
        <f aca="false">IF(AG35="Yes",IF(Budget2&gt;=ShortlistFinal,AK35,AK35/ShortlistFinal*Budget2),0)</f>
        <v>0</v>
      </c>
      <c r="AQ35" s="30" t="n">
        <f aca="false">INT(AP35)</f>
        <v>0</v>
      </c>
      <c r="AR35" s="26" t="n">
        <f aca="false">IF(AND(AG35="Yes",Budget2&lt;ShortlistFinal),AP35-AQ35,-1)</f>
        <v>-1</v>
      </c>
      <c r="AS35" s="27" t="n">
        <f aca="false">IF(AG35&lt;&gt;"Yes",0,IF(Budget2&gt;=ShortlistFinal,AK35,AQ35+IF(COUNTIFS($AR$5:$AR$119,"&gt;"&amp;AR35)+COUNTIFS($AR$5:$AR$119,AR35,$AF$5:$AF$119,"&lt;"&amp;AF35)&lt;Budget2-SUM($AQ$5:$AQ$119),1,0)))</f>
        <v>0</v>
      </c>
      <c r="AT35" s="26" t="n">
        <f aca="false">AK35*Share2025</f>
        <v>0</v>
      </c>
      <c r="AU35" s="26" t="n">
        <f aca="false">AK35*Share2026</f>
        <v>0</v>
      </c>
      <c r="AV35" s="26" t="n">
        <f aca="false">AK35*Share2027</f>
        <v>0</v>
      </c>
      <c r="AW35" s="31" t="n">
        <f aca="false">INT(AT35)</f>
        <v>0</v>
      </c>
      <c r="AX35" s="31" t="n">
        <f aca="false">INT(AU35)</f>
        <v>0</v>
      </c>
      <c r="AY35" s="31" t="n">
        <f aca="false">INT(AV35)</f>
        <v>0</v>
      </c>
      <c r="AZ35" s="26" t="n">
        <f aca="false">AT35-AW35</f>
        <v>0</v>
      </c>
      <c r="BA35" s="26" t="n">
        <f aca="false">AU35-AX35</f>
        <v>0</v>
      </c>
      <c r="BB35" s="26" t="n">
        <f aca="false">AV35-AY35</f>
        <v>0</v>
      </c>
      <c r="BC35" s="31" t="n">
        <f aca="false">AK35-AW35-AX35-AY35</f>
        <v>0</v>
      </c>
      <c r="BD35" s="27" t="n">
        <f aca="false">AW35+IF((BA35&gt;AZ35)+(BB35&gt;AZ35)&lt;BC35,1,0)</f>
        <v>0</v>
      </c>
      <c r="BE35" s="27" t="n">
        <f aca="false">AX35+IF((AZ35&gt;BA35)+(BB35&gt;BA35)+(AZ35=BA35)&lt;BC35,1,0)</f>
        <v>0</v>
      </c>
      <c r="BF35" s="27" t="n">
        <f aca="false">AY35+IF((AZ35&gt;BB35)+(BA35&gt;BB35)+(AZ35=BB35)+(BA35=BB35)&lt;BC35,1,0)</f>
        <v>0</v>
      </c>
    </row>
    <row r="36" customFormat="false" ht="15" hidden="false" customHeight="false" outlineLevel="0" collapsed="false">
      <c r="A36" s="22" t="str">
        <f aca="false">'District Data'!A36</f>
        <v>Jafarabad</v>
      </c>
      <c r="B36" s="22" t="str">
        <f aca="false">'District Data'!C36</f>
        <v>Multan Region</v>
      </c>
      <c r="C36" s="22" t="str">
        <f aca="false">'District Data'!D36</f>
        <v>Rest</v>
      </c>
      <c r="D36" s="23" t="n">
        <f aca="false">ROUND('District Data'!E36*'District Data'!F36,0)</f>
        <v>203869</v>
      </c>
      <c r="E36" s="23" t="n">
        <f aca="false">'District Data'!I36</f>
        <v>20</v>
      </c>
      <c r="F36" s="23" t="n">
        <f aca="false">'District Data'!L36</f>
        <v>15077.3</v>
      </c>
      <c r="G36" s="24" t="n">
        <f aca="false">IFERROR(F36/(E36*Weeks),0)</f>
        <v>14.4974038461538</v>
      </c>
      <c r="H36" s="25" t="n">
        <f aca="false">IFERROR('District Data'!N36/('District Data'!M36*Weeks),0)</f>
        <v>14.7163461538462</v>
      </c>
      <c r="I36" s="24" t="n">
        <f aca="false">IFERROR(SUMIFS('District Data'!$N$5:$N$119,'District Data'!$C$5:$C$119,B36)/(SUMIFS('District Data'!$M$5:$M$119,'District Data'!$C$5:$C$119,B36)*Weeks),0)</f>
        <v>8.16663285109386</v>
      </c>
      <c r="J36" s="24" t="n">
        <f aca="false">IF(TPBasis="NI TP",IF(H36&gt;0,H36,I36),G36)</f>
        <v>14.7163461538462</v>
      </c>
      <c r="K36" s="26" t="n">
        <f aca="false">IFERROR(F36/D36,0)</f>
        <v>0.0739558245736233</v>
      </c>
      <c r="L36" s="27" t="n">
        <f aca="false">IFERROR(D36/E36,0)</f>
        <v>10193.45</v>
      </c>
      <c r="M36" s="28" t="n">
        <f aca="false">IFERROR('District Data'!L36/'District Data'!K36-1,0)</f>
        <v>0.00336066228338705</v>
      </c>
      <c r="N36" s="28" t="n">
        <f aca="false">IFERROR(('District Data'!L36/'District Data'!J36)^(1/2)-1,0)</f>
        <v>0.0460739661284111</v>
      </c>
      <c r="O36" s="28" t="n">
        <f aca="false">IFERROR('District Data'!I36/'District Data'!H36-1,0)</f>
        <v>0</v>
      </c>
      <c r="P36" s="7" t="str">
        <f aca="false">IF(K36&gt;=PCC_L1,"Layer 01",IF(K36&gt;=PCC_L2,"Layer 02",IF(K36&gt;=PCC_L3,"Layer 03",IF(K36&gt;=PCC_L4,"Layer 04","Layer 05"))))</f>
        <v>Layer 05</v>
      </c>
      <c r="Q36" s="7" t="str">
        <f aca="false">IF(L36&gt;=PPO_L1,"Layer 01",IF(L36&gt;=PPO_L2,"Layer 02",IF(L36&gt;=PPO_L3,"Layer 03",IF(L36&gt;=PPO_L4,"Layer 04","Layer 05"))))</f>
        <v>Layer 03</v>
      </c>
      <c r="R36" s="29" t="n">
        <f aca="false">D36/IdealPPO-E36</f>
        <v>251.825333333333</v>
      </c>
      <c r="S36" s="29" t="n">
        <f aca="false">IdealTP*Weeks-(Weeks*J36+FirstFill)</f>
        <v>-65.25</v>
      </c>
      <c r="T36" s="29" t="n">
        <f aca="false">IF(S36&gt;0,(F36-IdealTP*Weeks*E36)/S36,1000000000000)</f>
        <v>1000000000000</v>
      </c>
      <c r="U36" s="27" t="n">
        <f aca="false">IF(E36&lt;=0,0,IF(G36&lt;=IdealTP,0,IF(L36&lt;=IdealPPO,0,INT(MIN(T36,R36)+0.000000001))))</f>
        <v>0</v>
      </c>
      <c r="V36" s="7" t="str">
        <f aca="false">IF(E36&lt;=0,"No current outlets",IF(G36&lt;=IdealTP,"TP already at or below ideal",IF(L36&lt;=IdealPPO,"PPO already at or below ideal",IF(T36&lt;=R36,"Stopped by TP reaching ideal","Stopped by PPO reaching ideal"))))</f>
        <v>TP already at or below ideal</v>
      </c>
      <c r="W36" s="30" t="n">
        <f aca="false">F36+U36*(Weeks*J36+FirstFill)</f>
        <v>15077.3</v>
      </c>
      <c r="X36" s="30" t="n">
        <f aca="false">E36+U36</f>
        <v>20</v>
      </c>
      <c r="Y36" s="24" t="n">
        <f aca="false">IFERROR(W36/(X36*Weeks),0)</f>
        <v>14.4974038461538</v>
      </c>
      <c r="Z36" s="30" t="n">
        <f aca="false">IFERROR(D36/X36,0)</f>
        <v>10193.45</v>
      </c>
      <c r="AA36" s="7" t="str">
        <f aca="false">IF(AND(K36&gt;=NationalPCC,L36&gt;IdealPPO),"Q1: High PCC, High PPO",IF(K36&gt;=NationalPCC,"Q2: High PCC, Low PPO",IF(L36&gt;IdealPPO,"Q3: Low PCC, High PPO","Q4: Low PCC, Low PPO")))</f>
        <v>Q3: Low PCC, High PPO</v>
      </c>
      <c r="AB36" s="7" t="str">
        <f aca="false">IF(K36&gt;=NationalPCC,IF(L36&gt;IdealPPO,"Phase 1","Phase 2"),"Phase 3")</f>
        <v>Phase 3</v>
      </c>
      <c r="AC36" s="7" t="str">
        <f aca="false">IF(AND(G36&gt;IdealTP,L36&gt;IdealPPO),"High TP, High PPO",IF(G36&gt;IdealTP,"High TP, Low PPO",IF(L36&gt;IdealPPO,"Low TP, High PPO","Low TP, Low PPO")))</f>
        <v>Low TP, High PPO</v>
      </c>
      <c r="AD36" s="31" t="n">
        <f aca="false">INDEX(WaveNumbers,MATCH(C36,WaveNames,0))</f>
        <v>4</v>
      </c>
      <c r="AE36" s="32" t="str">
        <f aca="false">IF(U36&gt;0,AD36*10000000+VALUE(RIGHT(AB36,1))*1000000+(1000000-U36)+ROW()/1000000,"")</f>
        <v/>
      </c>
      <c r="AF36" s="31" t="str">
        <f aca="false">IF(U36&gt;0,COUNTIFS($AE$5:$AE$119,"&lt;"&amp;AE36)+1,"")</f>
        <v/>
      </c>
      <c r="AG36" s="7" t="str">
        <f aca="false">IF(AF36="","No",IF(AF36&lt;=TopN,"Yes","No"))</f>
        <v>No</v>
      </c>
      <c r="AH36" s="30" t="n">
        <f aca="false">INT('District Data'!O36*ConvRate)</f>
        <v>18</v>
      </c>
      <c r="AI36" s="27" t="n">
        <f aca="false">MIN(U36,AH36)</f>
        <v>0</v>
      </c>
      <c r="AJ36" s="7" t="str">
        <f aca="false">IF(U36=0,"No expansion",IF(AH36&lt;U36,"Supply constrained (not enough shops)","Demand constrained (enough shops)"))</f>
        <v>No expansion</v>
      </c>
      <c r="AK36" s="30" t="n">
        <f aca="false">IF(AG36="Yes",AI36,0)</f>
        <v>0</v>
      </c>
      <c r="AL36" s="26" t="n">
        <f aca="false">IF(AG36="Yes",IF(Budget1&gt;=ShortlistFinal,AK36,AK36/ShortlistFinal*Budget1),0)</f>
        <v>0</v>
      </c>
      <c r="AM36" s="30" t="n">
        <f aca="false">INT(AL36)</f>
        <v>0</v>
      </c>
      <c r="AN36" s="26" t="n">
        <f aca="false">IF(AND(AG36="Yes",Budget1&lt;ShortlistFinal),AL36-AM36,-1)</f>
        <v>-1</v>
      </c>
      <c r="AO36" s="27" t="n">
        <f aca="false">IF(AG36&lt;&gt;"Yes",0,IF(Budget1&gt;=ShortlistFinal,AK36,AM36+IF(COUNTIFS($AN$5:$AN$119,"&gt;"&amp;AN36)+COUNTIFS($AN$5:$AN$119,AN36,$AF$5:$AF$119,"&lt;"&amp;AF36)&lt;Budget1-SUM($AM$5:$AM$119),1,0)))</f>
        <v>0</v>
      </c>
      <c r="AP36" s="26" t="n">
        <f aca="false">IF(AG36="Yes",IF(Budget2&gt;=ShortlistFinal,AK36,AK36/ShortlistFinal*Budget2),0)</f>
        <v>0</v>
      </c>
      <c r="AQ36" s="30" t="n">
        <f aca="false">INT(AP36)</f>
        <v>0</v>
      </c>
      <c r="AR36" s="26" t="n">
        <f aca="false">IF(AND(AG36="Yes",Budget2&lt;ShortlistFinal),AP36-AQ36,-1)</f>
        <v>-1</v>
      </c>
      <c r="AS36" s="27" t="n">
        <f aca="false">IF(AG36&lt;&gt;"Yes",0,IF(Budget2&gt;=ShortlistFinal,AK36,AQ36+IF(COUNTIFS($AR$5:$AR$119,"&gt;"&amp;AR36)+COUNTIFS($AR$5:$AR$119,AR36,$AF$5:$AF$119,"&lt;"&amp;AF36)&lt;Budget2-SUM($AQ$5:$AQ$119),1,0)))</f>
        <v>0</v>
      </c>
      <c r="AT36" s="26" t="n">
        <f aca="false">AK36*Share2025</f>
        <v>0</v>
      </c>
      <c r="AU36" s="26" t="n">
        <f aca="false">AK36*Share2026</f>
        <v>0</v>
      </c>
      <c r="AV36" s="26" t="n">
        <f aca="false">AK36*Share2027</f>
        <v>0</v>
      </c>
      <c r="AW36" s="31" t="n">
        <f aca="false">INT(AT36)</f>
        <v>0</v>
      </c>
      <c r="AX36" s="31" t="n">
        <f aca="false">INT(AU36)</f>
        <v>0</v>
      </c>
      <c r="AY36" s="31" t="n">
        <f aca="false">INT(AV36)</f>
        <v>0</v>
      </c>
      <c r="AZ36" s="26" t="n">
        <f aca="false">AT36-AW36</f>
        <v>0</v>
      </c>
      <c r="BA36" s="26" t="n">
        <f aca="false">AU36-AX36</f>
        <v>0</v>
      </c>
      <c r="BB36" s="26" t="n">
        <f aca="false">AV36-AY36</f>
        <v>0</v>
      </c>
      <c r="BC36" s="31" t="n">
        <f aca="false">AK36-AW36-AX36-AY36</f>
        <v>0</v>
      </c>
      <c r="BD36" s="27" t="n">
        <f aca="false">AW36+IF((BA36&gt;AZ36)+(BB36&gt;AZ36)&lt;BC36,1,0)</f>
        <v>0</v>
      </c>
      <c r="BE36" s="27" t="n">
        <f aca="false">AX36+IF((AZ36&gt;BA36)+(BB36&gt;BA36)+(AZ36=BA36)&lt;BC36,1,0)</f>
        <v>0</v>
      </c>
      <c r="BF36" s="27" t="n">
        <f aca="false">AY36+IF((AZ36&gt;BB36)+(BA36&gt;BB36)+(AZ36=BB36)+(BA36=BB36)&lt;BC36,1,0)</f>
        <v>0</v>
      </c>
    </row>
    <row r="37" customFormat="false" ht="15" hidden="false" customHeight="false" outlineLevel="0" collapsed="false">
      <c r="A37" s="22" t="str">
        <f aca="false">'District Data'!A37</f>
        <v>Jamshoro</v>
      </c>
      <c r="B37" s="22" t="str">
        <f aca="false">'District Data'!C37</f>
        <v>Karachi Region</v>
      </c>
      <c r="C37" s="22" t="str">
        <f aca="false">'District Data'!D37</f>
        <v>Stronghold</v>
      </c>
      <c r="D37" s="23" t="n">
        <f aca="false">ROUND('District Data'!E37*'District Data'!F37,0)</f>
        <v>510415</v>
      </c>
      <c r="E37" s="23" t="n">
        <f aca="false">'District Data'!I37</f>
        <v>100</v>
      </c>
      <c r="F37" s="23" t="n">
        <f aca="false">'District Data'!L37</f>
        <v>81388.2</v>
      </c>
      <c r="G37" s="24" t="n">
        <f aca="false">IFERROR(F37/(E37*Weeks),0)</f>
        <v>15.6515769230769</v>
      </c>
      <c r="H37" s="25" t="n">
        <f aca="false">IFERROR('District Data'!N37/('District Data'!M37*Weeks),0)</f>
        <v>8.52435897435898</v>
      </c>
      <c r="I37" s="24" t="n">
        <f aca="false">IFERROR(SUMIFS('District Data'!$N$5:$N$119,'District Data'!$C$5:$C$119,B37)/(SUMIFS('District Data'!$M$5:$M$119,'District Data'!$C$5:$C$119,B37)*Weeks),0)</f>
        <v>12.952446872194</v>
      </c>
      <c r="J37" s="24" t="n">
        <f aca="false">IF(TPBasis="NI TP",IF(H37&gt;0,H37,I37),G37)</f>
        <v>8.52435897435898</v>
      </c>
      <c r="K37" s="26" t="n">
        <f aca="false">IFERROR(F37/D37,0)</f>
        <v>0.159454953322297</v>
      </c>
      <c r="L37" s="27" t="n">
        <f aca="false">IFERROR(D37/E37,0)</f>
        <v>5104.15</v>
      </c>
      <c r="M37" s="28" t="n">
        <f aca="false">IFERROR('District Data'!L37/'District Data'!K37-1,0)</f>
        <v>0.0039299564818378</v>
      </c>
      <c r="N37" s="28" t="n">
        <f aca="false">IFERROR(('District Data'!L37/'District Data'!J37)^(1/2)-1,0)</f>
        <v>0.0422105467399754</v>
      </c>
      <c r="O37" s="28" t="n">
        <f aca="false">IFERROR('District Data'!I37/'District Data'!H37-1,0)</f>
        <v>0.0204081632653061</v>
      </c>
      <c r="P37" s="7" t="str">
        <f aca="false">IF(K37&gt;=PCC_L1,"Layer 01",IF(K37&gt;=PCC_L2,"Layer 02",IF(K37&gt;=PCC_L3,"Layer 03",IF(K37&gt;=PCC_L4,"Layer 04","Layer 05"))))</f>
        <v>Layer 05</v>
      </c>
      <c r="Q37" s="7" t="str">
        <f aca="false">IF(L37&gt;=PPO_L1,"Layer 01",IF(L37&gt;=PPO_L2,"Layer 02",IF(L37&gt;=PPO_L3,"Layer 03",IF(L37&gt;=PPO_L4,"Layer 04","Layer 05"))))</f>
        <v>Layer 03</v>
      </c>
      <c r="R37" s="29" t="n">
        <f aca="false">D37/IdealPPO-E37</f>
        <v>580.553333333333</v>
      </c>
      <c r="S37" s="29" t="n">
        <f aca="false">IdealTP*Weeks-(Weeks*J37+FirstFill)</f>
        <v>256.733333333333</v>
      </c>
      <c r="T37" s="29" t="n">
        <f aca="false">IF(S37&gt;0,(F37-IdealTP*Weeks*E37)/S37,1000000000000)</f>
        <v>13.197351337315</v>
      </c>
      <c r="U37" s="27" t="n">
        <f aca="false">IF(E37&lt;=0,0,IF(G37&lt;=IdealTP,0,IF(L37&lt;=IdealPPO,0,INT(MIN(T37,R37)+0.000000001))))</f>
        <v>13</v>
      </c>
      <c r="V37" s="7" t="str">
        <f aca="false">IF(E37&lt;=0,"No current outlets",IF(G37&lt;=IdealTP,"TP already at or below ideal",IF(L37&lt;=IdealPPO,"PPO already at or below ideal",IF(T37&lt;=R37,"Stopped by TP reaching ideal","Stopped by PPO reaching ideal"))))</f>
        <v>Stopped by TP reaching ideal</v>
      </c>
      <c r="W37" s="30" t="n">
        <f aca="false">F37+U37*(Weeks*J37+FirstFill)</f>
        <v>88190.6666666667</v>
      </c>
      <c r="X37" s="30" t="n">
        <f aca="false">E37+U37</f>
        <v>113</v>
      </c>
      <c r="Y37" s="24" t="n">
        <f aca="false">IFERROR(W37/(X37*Weeks),0)</f>
        <v>15.0086226457908</v>
      </c>
      <c r="Z37" s="30" t="n">
        <f aca="false">IFERROR(D37/X37,0)</f>
        <v>4516.94690265487</v>
      </c>
      <c r="AA37" s="7" t="str">
        <f aca="false">IF(AND(K37&gt;=NationalPCC,L37&gt;IdealPPO),"Q1: High PCC, High PPO",IF(K37&gt;=NationalPCC,"Q2: High PCC, Low PPO",IF(L37&gt;IdealPPO,"Q3: Low PCC, High PPO","Q4: Low PCC, Low PPO")))</f>
        <v>Q3: Low PCC, High PPO</v>
      </c>
      <c r="AB37" s="7" t="str">
        <f aca="false">IF(K37&gt;=NationalPCC,IF(L37&gt;IdealPPO,"Phase 1","Phase 2"),"Phase 3")</f>
        <v>Phase 3</v>
      </c>
      <c r="AC37" s="7" t="str">
        <f aca="false">IF(AND(G37&gt;IdealTP,L37&gt;IdealPPO),"High TP, High PPO",IF(G37&gt;IdealTP,"High TP, Low PPO",IF(L37&gt;IdealPPO,"Low TP, High PPO","Low TP, Low PPO")))</f>
        <v>High TP, High PPO</v>
      </c>
      <c r="AD37" s="31" t="n">
        <f aca="false">INDEX(WaveNumbers,MATCH(C37,WaveNames,0))</f>
        <v>1</v>
      </c>
      <c r="AE37" s="32" t="n">
        <f aca="false">IF(U37&gt;0,AD37*10000000+VALUE(RIGHT(AB37,1))*1000000+(1000000-U37)+ROW()/1000000,"")</f>
        <v>13999987.000037</v>
      </c>
      <c r="AF37" s="31" t="n">
        <f aca="false">IF(U37&gt;0,COUNTIFS($AE$5:$AE$119,"&lt;"&amp;AE37)+1,"")</f>
        <v>19</v>
      </c>
      <c r="AG37" s="7" t="str">
        <f aca="false">IF(AF37="","No",IF(AF37&lt;=TopN,"Yes","No"))</f>
        <v>Yes</v>
      </c>
      <c r="AH37" s="30" t="n">
        <f aca="false">INT('District Data'!O37*ConvRate)</f>
        <v>43</v>
      </c>
      <c r="AI37" s="27" t="n">
        <f aca="false">MIN(U37,AH37)</f>
        <v>13</v>
      </c>
      <c r="AJ37" s="7" t="str">
        <f aca="false">IF(U37=0,"No expansion",IF(AH37&lt;U37,"Supply constrained (not enough shops)","Demand constrained (enough shops)"))</f>
        <v>Demand constrained (enough shops)</v>
      </c>
      <c r="AK37" s="30" t="n">
        <f aca="false">IF(AG37="Yes",AI37,0)</f>
        <v>13</v>
      </c>
      <c r="AL37" s="26" t="n">
        <f aca="false">IF(AG37="Yes",IF(Budget1&gt;=ShortlistFinal,AK37,AK37/ShortlistFinal*Budget1),0)</f>
        <v>7.68662232076866</v>
      </c>
      <c r="AM37" s="30" t="n">
        <f aca="false">INT(AL37)</f>
        <v>7</v>
      </c>
      <c r="AN37" s="26" t="n">
        <f aca="false">IF(AND(AG37="Yes",Budget1&lt;ShortlistFinal),AL37-AM37,-1)</f>
        <v>0.686622320768662</v>
      </c>
      <c r="AO37" s="27" t="n">
        <f aca="false">IF(AG37&lt;&gt;"Yes",0,IF(Budget1&gt;=ShortlistFinal,AK37,AM37+IF(COUNTIFS($AN$5:$AN$119,"&gt;"&amp;AN37)+COUNTIFS($AN$5:$AN$119,AN37,$AF$5:$AF$119,"&lt;"&amp;AF37)&lt;Budget1-SUM($AM$5:$AM$119),1,0)))</f>
        <v>8</v>
      </c>
      <c r="AP37" s="26" t="n">
        <f aca="false">IF(AG37="Yes",IF(Budget2&gt;=ShortlistFinal,AK37,AK37/ShortlistFinal*Budget2),0)</f>
        <v>11.529933481153</v>
      </c>
      <c r="AQ37" s="30" t="n">
        <f aca="false">INT(AP37)</f>
        <v>11</v>
      </c>
      <c r="AR37" s="26" t="n">
        <f aca="false">IF(AND(AG37="Yes",Budget2&lt;ShortlistFinal),AP37-AQ37,-1)</f>
        <v>0.529933481152993</v>
      </c>
      <c r="AS37" s="27" t="n">
        <f aca="false">IF(AG37&lt;&gt;"Yes",0,IF(Budget2&gt;=ShortlistFinal,AK37,AQ37+IF(COUNTIFS($AR$5:$AR$119,"&gt;"&amp;AR37)+COUNTIFS($AR$5:$AR$119,AR37,$AF$5:$AF$119,"&lt;"&amp;AF37)&lt;Budget2-SUM($AQ$5:$AQ$119),1,0)))</f>
        <v>12</v>
      </c>
      <c r="AT37" s="26" t="n">
        <f aca="false">AK37*Share2025</f>
        <v>4.58823529411765</v>
      </c>
      <c r="AU37" s="26" t="n">
        <f aca="false">AK37*Share2026</f>
        <v>4.58823529411765</v>
      </c>
      <c r="AV37" s="26" t="n">
        <f aca="false">AK37*Share2027</f>
        <v>3.82352941176471</v>
      </c>
      <c r="AW37" s="31" t="n">
        <f aca="false">INT(AT37)</f>
        <v>4</v>
      </c>
      <c r="AX37" s="31" t="n">
        <f aca="false">INT(AU37)</f>
        <v>4</v>
      </c>
      <c r="AY37" s="31" t="n">
        <f aca="false">INT(AV37)</f>
        <v>3</v>
      </c>
      <c r="AZ37" s="26" t="n">
        <f aca="false">AT37-AW37</f>
        <v>0.588235294117649</v>
      </c>
      <c r="BA37" s="26" t="n">
        <f aca="false">AU37-AX37</f>
        <v>0.588235294117649</v>
      </c>
      <c r="BB37" s="26" t="n">
        <f aca="false">AV37-AY37</f>
        <v>0.823529411764705</v>
      </c>
      <c r="BC37" s="31" t="n">
        <f aca="false">AK37-AW37-AX37-AY37</f>
        <v>2</v>
      </c>
      <c r="BD37" s="27" t="n">
        <f aca="false">AW37+IF((BA37&gt;AZ37)+(BB37&gt;AZ37)&lt;BC37,1,0)</f>
        <v>5</v>
      </c>
      <c r="BE37" s="27" t="n">
        <f aca="false">AX37+IF((AZ37&gt;BA37)+(BB37&gt;BA37)+(AZ37=BA37)&lt;BC37,1,0)</f>
        <v>4</v>
      </c>
      <c r="BF37" s="27" t="n">
        <f aca="false">AY37+IF((AZ37&gt;BB37)+(BA37&gt;BB37)+(AZ37=BB37)+(BA37=BB37)&lt;BC37,1,0)</f>
        <v>4</v>
      </c>
    </row>
    <row r="38" customFormat="false" ht="15" hidden="false" customHeight="false" outlineLevel="0" collapsed="false">
      <c r="A38" s="22" t="str">
        <f aca="false">'District Data'!A38</f>
        <v>Jhal Magsi</v>
      </c>
      <c r="B38" s="22" t="str">
        <f aca="false">'District Data'!C38</f>
        <v>Karachi Region</v>
      </c>
      <c r="C38" s="22" t="str">
        <f aca="false">'District Data'!D38</f>
        <v>Rest</v>
      </c>
      <c r="D38" s="23" t="n">
        <f aca="false">ROUND('District Data'!E38*'District Data'!F38,0)</f>
        <v>44557</v>
      </c>
      <c r="E38" s="23" t="n">
        <f aca="false">'District Data'!I38</f>
        <v>2</v>
      </c>
      <c r="F38" s="23" t="n">
        <f aca="false">'District Data'!L38</f>
        <v>457.7</v>
      </c>
      <c r="G38" s="24" t="n">
        <f aca="false">IFERROR(F38/(E38*Weeks),0)</f>
        <v>4.40096153846154</v>
      </c>
      <c r="H38" s="25" t="n">
        <f aca="false">IFERROR('District Data'!N38/('District Data'!M38*Weeks),0)</f>
        <v>0</v>
      </c>
      <c r="I38" s="24" t="n">
        <f aca="false">IFERROR(SUMIFS('District Data'!$N$5:$N$119,'District Data'!$C$5:$C$119,B38)/(SUMIFS('District Data'!$M$5:$M$119,'District Data'!$C$5:$C$119,B38)*Weeks),0)</f>
        <v>12.952446872194</v>
      </c>
      <c r="J38" s="24" t="n">
        <f aca="false">IF(TPBasis="NI TP",IF(H38&gt;0,H38,I38),G38)</f>
        <v>12.952446872194</v>
      </c>
      <c r="K38" s="26" t="n">
        <f aca="false">IFERROR(F38/D38,0)</f>
        <v>0.0102722355634356</v>
      </c>
      <c r="L38" s="27" t="n">
        <f aca="false">IFERROR(D38/E38,0)</f>
        <v>22278.5</v>
      </c>
      <c r="M38" s="28" t="n">
        <f aca="false">IFERROR('District Data'!L38/'District Data'!K38-1,0)</f>
        <v>-0.0666802610114192</v>
      </c>
      <c r="N38" s="28" t="n">
        <f aca="false">IFERROR(('District Data'!L38/'District Data'!J38)^(1/2)-1,0)</f>
        <v>-0.00509516025983259</v>
      </c>
      <c r="O38" s="28" t="n">
        <f aca="false">IFERROR('District Data'!I38/'District Data'!H38-1,0)</f>
        <v>0</v>
      </c>
      <c r="P38" s="7" t="str">
        <f aca="false">IF(K38&gt;=PCC_L1,"Layer 01",IF(K38&gt;=PCC_L2,"Layer 02",IF(K38&gt;=PCC_L3,"Layer 03",IF(K38&gt;=PCC_L4,"Layer 04","Layer 05"))))</f>
        <v>Layer 05</v>
      </c>
      <c r="Q38" s="7" t="str">
        <f aca="false">IF(L38&gt;=PPO_L1,"Layer 01",IF(L38&gt;=PPO_L2,"Layer 02",IF(L38&gt;=PPO_L3,"Layer 03",IF(L38&gt;=PPO_L4,"Layer 04","Layer 05"))))</f>
        <v>Layer 02</v>
      </c>
      <c r="R38" s="29" t="n">
        <f aca="false">D38/IdealPPO-E38</f>
        <v>57.4093333333333</v>
      </c>
      <c r="S38" s="29" t="n">
        <f aca="false">IdealTP*Weeks-(Weeks*J38+FirstFill)</f>
        <v>26.4727626459144</v>
      </c>
      <c r="T38" s="29" t="n">
        <f aca="false">IF(S38&gt;0,(F38-IdealTP*Weeks*E38)/S38,1000000000000)</f>
        <v>-41.6390240317484</v>
      </c>
      <c r="U38" s="27" t="n">
        <f aca="false">IF(E38&lt;=0,0,IF(G38&lt;=IdealTP,0,IF(L38&lt;=IdealPPO,0,INT(MIN(T38,R38)+0.000000001))))</f>
        <v>0</v>
      </c>
      <c r="V38" s="7" t="str">
        <f aca="false">IF(E38&lt;=0,"No current outlets",IF(G38&lt;=IdealTP,"TP already at or below ideal",IF(L38&lt;=IdealPPO,"PPO already at or below ideal",IF(T38&lt;=R38,"Stopped by TP reaching ideal","Stopped by PPO reaching ideal"))))</f>
        <v>TP already at or below ideal</v>
      </c>
      <c r="W38" s="30" t="n">
        <f aca="false">F38+U38*(Weeks*J38+FirstFill)</f>
        <v>457.7</v>
      </c>
      <c r="X38" s="30" t="n">
        <f aca="false">E38+U38</f>
        <v>2</v>
      </c>
      <c r="Y38" s="24" t="n">
        <f aca="false">IFERROR(W38/(X38*Weeks),0)</f>
        <v>4.40096153846154</v>
      </c>
      <c r="Z38" s="30" t="n">
        <f aca="false">IFERROR(D38/X38,0)</f>
        <v>22278.5</v>
      </c>
      <c r="AA38" s="7" t="str">
        <f aca="false">IF(AND(K38&gt;=NationalPCC,L38&gt;IdealPPO),"Q1: High PCC, High PPO",IF(K38&gt;=NationalPCC,"Q2: High PCC, Low PPO",IF(L38&gt;IdealPPO,"Q3: Low PCC, High PPO","Q4: Low PCC, Low PPO")))</f>
        <v>Q3: Low PCC, High PPO</v>
      </c>
      <c r="AB38" s="7" t="str">
        <f aca="false">IF(K38&gt;=NationalPCC,IF(L38&gt;IdealPPO,"Phase 1","Phase 2"),"Phase 3")</f>
        <v>Phase 3</v>
      </c>
      <c r="AC38" s="7" t="str">
        <f aca="false">IF(AND(G38&gt;IdealTP,L38&gt;IdealPPO),"High TP, High PPO",IF(G38&gt;IdealTP,"High TP, Low PPO",IF(L38&gt;IdealPPO,"Low TP, High PPO","Low TP, Low PPO")))</f>
        <v>Low TP, High PPO</v>
      </c>
      <c r="AD38" s="31" t="n">
        <f aca="false">INDEX(WaveNumbers,MATCH(C38,WaveNames,0))</f>
        <v>4</v>
      </c>
      <c r="AE38" s="32" t="str">
        <f aca="false">IF(U38&gt;0,AD38*10000000+VALUE(RIGHT(AB38,1))*1000000+(1000000-U38)+ROW()/1000000,"")</f>
        <v/>
      </c>
      <c r="AF38" s="31" t="str">
        <f aca="false">IF(U38&gt;0,COUNTIFS($AE$5:$AE$119,"&lt;"&amp;AE38)+1,"")</f>
        <v/>
      </c>
      <c r="AG38" s="7" t="str">
        <f aca="false">IF(AF38="","No",IF(AF38&lt;=TopN,"Yes","No"))</f>
        <v>No</v>
      </c>
      <c r="AH38" s="30" t="n">
        <f aca="false">INT('District Data'!O38*ConvRate)</f>
        <v>4</v>
      </c>
      <c r="AI38" s="27" t="n">
        <f aca="false">MIN(U38,AH38)</f>
        <v>0</v>
      </c>
      <c r="AJ38" s="7" t="str">
        <f aca="false">IF(U38=0,"No expansion",IF(AH38&lt;U38,"Supply constrained (not enough shops)","Demand constrained (enough shops)"))</f>
        <v>No expansion</v>
      </c>
      <c r="AK38" s="30" t="n">
        <f aca="false">IF(AG38="Yes",AI38,0)</f>
        <v>0</v>
      </c>
      <c r="AL38" s="26" t="n">
        <f aca="false">IF(AG38="Yes",IF(Budget1&gt;=ShortlistFinal,AK38,AK38/ShortlistFinal*Budget1),0)</f>
        <v>0</v>
      </c>
      <c r="AM38" s="30" t="n">
        <f aca="false">INT(AL38)</f>
        <v>0</v>
      </c>
      <c r="AN38" s="26" t="n">
        <f aca="false">IF(AND(AG38="Yes",Budget1&lt;ShortlistFinal),AL38-AM38,-1)</f>
        <v>-1</v>
      </c>
      <c r="AO38" s="27" t="n">
        <f aca="false">IF(AG38&lt;&gt;"Yes",0,IF(Budget1&gt;=ShortlistFinal,AK38,AM38+IF(COUNTIFS($AN$5:$AN$119,"&gt;"&amp;AN38)+COUNTIFS($AN$5:$AN$119,AN38,$AF$5:$AF$119,"&lt;"&amp;AF38)&lt;Budget1-SUM($AM$5:$AM$119),1,0)))</f>
        <v>0</v>
      </c>
      <c r="AP38" s="26" t="n">
        <f aca="false">IF(AG38="Yes",IF(Budget2&gt;=ShortlistFinal,AK38,AK38/ShortlistFinal*Budget2),0)</f>
        <v>0</v>
      </c>
      <c r="AQ38" s="30" t="n">
        <f aca="false">INT(AP38)</f>
        <v>0</v>
      </c>
      <c r="AR38" s="26" t="n">
        <f aca="false">IF(AND(AG38="Yes",Budget2&lt;ShortlistFinal),AP38-AQ38,-1)</f>
        <v>-1</v>
      </c>
      <c r="AS38" s="27" t="n">
        <f aca="false">IF(AG38&lt;&gt;"Yes",0,IF(Budget2&gt;=ShortlistFinal,AK38,AQ38+IF(COUNTIFS($AR$5:$AR$119,"&gt;"&amp;AR38)+COUNTIFS($AR$5:$AR$119,AR38,$AF$5:$AF$119,"&lt;"&amp;AF38)&lt;Budget2-SUM($AQ$5:$AQ$119),1,0)))</f>
        <v>0</v>
      </c>
      <c r="AT38" s="26" t="n">
        <f aca="false">AK38*Share2025</f>
        <v>0</v>
      </c>
      <c r="AU38" s="26" t="n">
        <f aca="false">AK38*Share2026</f>
        <v>0</v>
      </c>
      <c r="AV38" s="26" t="n">
        <f aca="false">AK38*Share2027</f>
        <v>0</v>
      </c>
      <c r="AW38" s="31" t="n">
        <f aca="false">INT(AT38)</f>
        <v>0</v>
      </c>
      <c r="AX38" s="31" t="n">
        <f aca="false">INT(AU38)</f>
        <v>0</v>
      </c>
      <c r="AY38" s="31" t="n">
        <f aca="false">INT(AV38)</f>
        <v>0</v>
      </c>
      <c r="AZ38" s="26" t="n">
        <f aca="false">AT38-AW38</f>
        <v>0</v>
      </c>
      <c r="BA38" s="26" t="n">
        <f aca="false">AU38-AX38</f>
        <v>0</v>
      </c>
      <c r="BB38" s="26" t="n">
        <f aca="false">AV38-AY38</f>
        <v>0</v>
      </c>
      <c r="BC38" s="31" t="n">
        <f aca="false">AK38-AW38-AX38-AY38</f>
        <v>0</v>
      </c>
      <c r="BD38" s="27" t="n">
        <f aca="false">AW38+IF((BA38&gt;AZ38)+(BB38&gt;AZ38)&lt;BC38,1,0)</f>
        <v>0</v>
      </c>
      <c r="BE38" s="27" t="n">
        <f aca="false">AX38+IF((AZ38&gt;BA38)+(BB38&gt;BA38)+(AZ38=BA38)&lt;BC38,1,0)</f>
        <v>0</v>
      </c>
      <c r="BF38" s="27" t="n">
        <f aca="false">AY38+IF((AZ38&gt;BB38)+(BA38&gt;BB38)+(AZ38=BB38)+(BA38=BB38)&lt;BC38,1,0)</f>
        <v>0</v>
      </c>
    </row>
    <row r="39" customFormat="false" ht="15" hidden="false" customHeight="false" outlineLevel="0" collapsed="false">
      <c r="A39" s="22" t="str">
        <f aca="false">'District Data'!A39</f>
        <v>Jhang</v>
      </c>
      <c r="B39" s="22" t="str">
        <f aca="false">'District Data'!C39</f>
        <v>Multan Region</v>
      </c>
      <c r="C39" s="22" t="str">
        <f aca="false">'District Data'!D39</f>
        <v>Stronghold</v>
      </c>
      <c r="D39" s="23" t="n">
        <f aca="false">ROUND('District Data'!E39*'District Data'!F39,0)</f>
        <v>1269901</v>
      </c>
      <c r="E39" s="23" t="n">
        <f aca="false">'District Data'!I39</f>
        <v>332</v>
      </c>
      <c r="F39" s="23" t="n">
        <f aca="false">'District Data'!L39</f>
        <v>205619.4</v>
      </c>
      <c r="G39" s="24" t="n">
        <f aca="false">IFERROR(F39/(E39*Weeks),0)</f>
        <v>11.9102988878591</v>
      </c>
      <c r="H39" s="25" t="n">
        <f aca="false">IFERROR('District Data'!N39/('District Data'!M39*Weeks),0)</f>
        <v>4.73535839160839</v>
      </c>
      <c r="I39" s="24" t="n">
        <f aca="false">IFERROR(SUMIFS('District Data'!$N$5:$N$119,'District Data'!$C$5:$C$119,B39)/(SUMIFS('District Data'!$M$5:$M$119,'District Data'!$C$5:$C$119,B39)*Weeks),0)</f>
        <v>8.16663285109386</v>
      </c>
      <c r="J39" s="24" t="n">
        <f aca="false">IF(TPBasis="NI TP",IF(H39&gt;0,H39,I39),G39)</f>
        <v>4.73535839160839</v>
      </c>
      <c r="K39" s="26" t="n">
        <f aca="false">IFERROR(F39/D39,0)</f>
        <v>0.161917661298007</v>
      </c>
      <c r="L39" s="27" t="n">
        <f aca="false">IFERROR(D39/E39,0)</f>
        <v>3825.00301204819</v>
      </c>
      <c r="M39" s="28" t="n">
        <f aca="false">IFERROR('District Data'!L39/'District Data'!K39-1,0)</f>
        <v>0.0570430673564901</v>
      </c>
      <c r="N39" s="28" t="n">
        <f aca="false">IFERROR(('District Data'!L39/'District Data'!J39)^(1/2)-1,0)</f>
        <v>0.0593450139732232</v>
      </c>
      <c r="O39" s="28" t="n">
        <f aca="false">IFERROR('District Data'!I39/'District Data'!H39-1,0)</f>
        <v>0.110367892976589</v>
      </c>
      <c r="P39" s="7" t="str">
        <f aca="false">IF(K39&gt;=PCC_L1,"Layer 01",IF(K39&gt;=PCC_L2,"Layer 02",IF(K39&gt;=PCC_L3,"Layer 03",IF(K39&gt;=PCC_L4,"Layer 04","Layer 05"))))</f>
        <v>Layer 05</v>
      </c>
      <c r="Q39" s="7" t="str">
        <f aca="false">IF(L39&gt;=PPO_L1,"Layer 01",IF(L39&gt;=PPO_L2,"Layer 02",IF(L39&gt;=PPO_L3,"Layer 03",IF(L39&gt;=PPO_L4,"Layer 04","Layer 05"))))</f>
        <v>Layer 03</v>
      </c>
      <c r="R39" s="29" t="n">
        <f aca="false">D39/IdealPPO-E39</f>
        <v>1361.20133333333</v>
      </c>
      <c r="S39" s="29" t="n">
        <f aca="false">IdealTP*Weeks-(Weeks*J39+FirstFill)</f>
        <v>453.761363636364</v>
      </c>
      <c r="T39" s="29" t="n">
        <f aca="false">IF(S39&gt;0,(F39-IdealTP*Weeks*E39)/S39,1000000000000)</f>
        <v>-117.55209736796</v>
      </c>
      <c r="U39" s="27" t="n">
        <f aca="false">IF(E39&lt;=0,0,IF(G39&lt;=IdealTP,0,IF(L39&lt;=IdealPPO,0,INT(MIN(T39,R39)+0.000000001))))</f>
        <v>0</v>
      </c>
      <c r="V39" s="7" t="str">
        <f aca="false">IF(E39&lt;=0,"No current outlets",IF(G39&lt;=IdealTP,"TP already at or below ideal",IF(L39&lt;=IdealPPO,"PPO already at or below ideal",IF(T39&lt;=R39,"Stopped by TP reaching ideal","Stopped by PPO reaching ideal"))))</f>
        <v>TP already at or below ideal</v>
      </c>
      <c r="W39" s="30" t="n">
        <f aca="false">F39+U39*(Weeks*J39+FirstFill)</f>
        <v>205619.4</v>
      </c>
      <c r="X39" s="30" t="n">
        <f aca="false">E39+U39</f>
        <v>332</v>
      </c>
      <c r="Y39" s="24" t="n">
        <f aca="false">IFERROR(W39/(X39*Weeks),0)</f>
        <v>11.9102988878591</v>
      </c>
      <c r="Z39" s="30" t="n">
        <f aca="false">IFERROR(D39/X39,0)</f>
        <v>3825.00301204819</v>
      </c>
      <c r="AA39" s="7" t="str">
        <f aca="false">IF(AND(K39&gt;=NationalPCC,L39&gt;IdealPPO),"Q1: High PCC, High PPO",IF(K39&gt;=NationalPCC,"Q2: High PCC, Low PPO",IF(L39&gt;IdealPPO,"Q3: Low PCC, High PPO","Q4: Low PCC, Low PPO")))</f>
        <v>Q3: Low PCC, High PPO</v>
      </c>
      <c r="AB39" s="7" t="str">
        <f aca="false">IF(K39&gt;=NationalPCC,IF(L39&gt;IdealPPO,"Phase 1","Phase 2"),"Phase 3")</f>
        <v>Phase 3</v>
      </c>
      <c r="AC39" s="7" t="str">
        <f aca="false">IF(AND(G39&gt;IdealTP,L39&gt;IdealPPO),"High TP, High PPO",IF(G39&gt;IdealTP,"High TP, Low PPO",IF(L39&gt;IdealPPO,"Low TP, High PPO","Low TP, Low PPO")))</f>
        <v>Low TP, High PPO</v>
      </c>
      <c r="AD39" s="31" t="n">
        <f aca="false">INDEX(WaveNumbers,MATCH(C39,WaveNames,0))</f>
        <v>1</v>
      </c>
      <c r="AE39" s="32" t="str">
        <f aca="false">IF(U39&gt;0,AD39*10000000+VALUE(RIGHT(AB39,1))*1000000+(1000000-U39)+ROW()/1000000,"")</f>
        <v/>
      </c>
      <c r="AF39" s="31" t="str">
        <f aca="false">IF(U39&gt;0,COUNTIFS($AE$5:$AE$119,"&lt;"&amp;AE39)+1,"")</f>
        <v/>
      </c>
      <c r="AG39" s="7" t="str">
        <f aca="false">IF(AF39="","No",IF(AF39&lt;=TopN,"Yes","No"))</f>
        <v>No</v>
      </c>
      <c r="AH39" s="30" t="n">
        <f aca="false">INT('District Data'!O39*ConvRate)</f>
        <v>168</v>
      </c>
      <c r="AI39" s="27" t="n">
        <f aca="false">MIN(U39,AH39)</f>
        <v>0</v>
      </c>
      <c r="AJ39" s="7" t="str">
        <f aca="false">IF(U39=0,"No expansion",IF(AH39&lt;U39,"Supply constrained (not enough shops)","Demand constrained (enough shops)"))</f>
        <v>No expansion</v>
      </c>
      <c r="AK39" s="30" t="n">
        <f aca="false">IF(AG39="Yes",AI39,0)</f>
        <v>0</v>
      </c>
      <c r="AL39" s="26" t="n">
        <f aca="false">IF(AG39="Yes",IF(Budget1&gt;=ShortlistFinal,AK39,AK39/ShortlistFinal*Budget1),0)</f>
        <v>0</v>
      </c>
      <c r="AM39" s="30" t="n">
        <f aca="false">INT(AL39)</f>
        <v>0</v>
      </c>
      <c r="AN39" s="26" t="n">
        <f aca="false">IF(AND(AG39="Yes",Budget1&lt;ShortlistFinal),AL39-AM39,-1)</f>
        <v>-1</v>
      </c>
      <c r="AO39" s="27" t="n">
        <f aca="false">IF(AG39&lt;&gt;"Yes",0,IF(Budget1&gt;=ShortlistFinal,AK39,AM39+IF(COUNTIFS($AN$5:$AN$119,"&gt;"&amp;AN39)+COUNTIFS($AN$5:$AN$119,AN39,$AF$5:$AF$119,"&lt;"&amp;AF39)&lt;Budget1-SUM($AM$5:$AM$119),1,0)))</f>
        <v>0</v>
      </c>
      <c r="AP39" s="26" t="n">
        <f aca="false">IF(AG39="Yes",IF(Budget2&gt;=ShortlistFinal,AK39,AK39/ShortlistFinal*Budget2),0)</f>
        <v>0</v>
      </c>
      <c r="AQ39" s="30" t="n">
        <f aca="false">INT(AP39)</f>
        <v>0</v>
      </c>
      <c r="AR39" s="26" t="n">
        <f aca="false">IF(AND(AG39="Yes",Budget2&lt;ShortlistFinal),AP39-AQ39,-1)</f>
        <v>-1</v>
      </c>
      <c r="AS39" s="27" t="n">
        <f aca="false">IF(AG39&lt;&gt;"Yes",0,IF(Budget2&gt;=ShortlistFinal,AK39,AQ39+IF(COUNTIFS($AR$5:$AR$119,"&gt;"&amp;AR39)+COUNTIFS($AR$5:$AR$119,AR39,$AF$5:$AF$119,"&lt;"&amp;AF39)&lt;Budget2-SUM($AQ$5:$AQ$119),1,0)))</f>
        <v>0</v>
      </c>
      <c r="AT39" s="26" t="n">
        <f aca="false">AK39*Share2025</f>
        <v>0</v>
      </c>
      <c r="AU39" s="26" t="n">
        <f aca="false">AK39*Share2026</f>
        <v>0</v>
      </c>
      <c r="AV39" s="26" t="n">
        <f aca="false">AK39*Share2027</f>
        <v>0</v>
      </c>
      <c r="AW39" s="31" t="n">
        <f aca="false">INT(AT39)</f>
        <v>0</v>
      </c>
      <c r="AX39" s="31" t="n">
        <f aca="false">INT(AU39)</f>
        <v>0</v>
      </c>
      <c r="AY39" s="31" t="n">
        <f aca="false">INT(AV39)</f>
        <v>0</v>
      </c>
      <c r="AZ39" s="26" t="n">
        <f aca="false">AT39-AW39</f>
        <v>0</v>
      </c>
      <c r="BA39" s="26" t="n">
        <f aca="false">AU39-AX39</f>
        <v>0</v>
      </c>
      <c r="BB39" s="26" t="n">
        <f aca="false">AV39-AY39</f>
        <v>0</v>
      </c>
      <c r="BC39" s="31" t="n">
        <f aca="false">AK39-AW39-AX39-AY39</f>
        <v>0</v>
      </c>
      <c r="BD39" s="27" t="n">
        <f aca="false">AW39+IF((BA39&gt;AZ39)+(BB39&gt;AZ39)&lt;BC39,1,0)</f>
        <v>0</v>
      </c>
      <c r="BE39" s="27" t="n">
        <f aca="false">AX39+IF((AZ39&gt;BA39)+(BB39&gt;BA39)+(AZ39=BA39)&lt;BC39,1,0)</f>
        <v>0</v>
      </c>
      <c r="BF39" s="27" t="n">
        <f aca="false">AY39+IF((AZ39&gt;BB39)+(BA39&gt;BB39)+(AZ39=BB39)+(BA39=BB39)&lt;BC39,1,0)</f>
        <v>0</v>
      </c>
    </row>
    <row r="40" customFormat="false" ht="15" hidden="false" customHeight="false" outlineLevel="0" collapsed="false">
      <c r="A40" s="22" t="str">
        <f aca="false">'District Data'!A40</f>
        <v>Jhelum</v>
      </c>
      <c r="B40" s="22" t="str">
        <f aca="false">'District Data'!C40</f>
        <v>Islamabad Region</v>
      </c>
      <c r="C40" s="22" t="str">
        <f aca="false">'District Data'!D40</f>
        <v>Neighbouring</v>
      </c>
      <c r="D40" s="23" t="n">
        <f aca="false">ROUND('District Data'!E40*'District Data'!F40,0)</f>
        <v>509343</v>
      </c>
      <c r="E40" s="23" t="n">
        <f aca="false">'District Data'!I40</f>
        <v>106</v>
      </c>
      <c r="F40" s="23" t="n">
        <f aca="false">'District Data'!L40</f>
        <v>101355.4</v>
      </c>
      <c r="G40" s="24" t="n">
        <f aca="false">IFERROR(F40/(E40*Weeks),0)</f>
        <v>18.3881349782293</v>
      </c>
      <c r="H40" s="25" t="n">
        <f aca="false">IFERROR('District Data'!N40/('District Data'!M40*Weeks),0)</f>
        <v>14.5903846153846</v>
      </c>
      <c r="I40" s="24" t="n">
        <f aca="false">IFERROR(SUMIFS('District Data'!$N$5:$N$119,'District Data'!$C$5:$C$119,B40)/(SUMIFS('District Data'!$M$5:$M$119,'District Data'!$C$5:$C$119,B40)*Weeks),0)</f>
        <v>8.40311578665237</v>
      </c>
      <c r="J40" s="24" t="n">
        <f aca="false">IF(TPBasis="NI TP",IF(H40&gt;0,H40,I40),G40)</f>
        <v>14.5903846153846</v>
      </c>
      <c r="K40" s="26" t="n">
        <f aca="false">IFERROR(F40/D40,0)</f>
        <v>0.19899242749974</v>
      </c>
      <c r="L40" s="27" t="n">
        <f aca="false">IFERROR(D40/E40,0)</f>
        <v>4805.12264150943</v>
      </c>
      <c r="M40" s="28" t="n">
        <f aca="false">IFERROR('District Data'!L40/'District Data'!K40-1,0)</f>
        <v>0.0757666618196948</v>
      </c>
      <c r="N40" s="28" t="n">
        <f aca="false">IFERROR(('District Data'!L40/'District Data'!J40)^(1/2)-1,0)</f>
        <v>0.0698763251619741</v>
      </c>
      <c r="O40" s="28" t="n">
        <f aca="false">IFERROR('District Data'!I40/'District Data'!H40-1,0)</f>
        <v>0.0927835051546391</v>
      </c>
      <c r="P40" s="7" t="str">
        <f aca="false">IF(K40&gt;=PCC_L1,"Layer 01",IF(K40&gt;=PCC_L2,"Layer 02",IF(K40&gt;=PCC_L3,"Layer 03",IF(K40&gt;=PCC_L4,"Layer 04","Layer 05"))))</f>
        <v>Layer 05</v>
      </c>
      <c r="Q40" s="7" t="str">
        <f aca="false">IF(L40&gt;=PPO_L1,"Layer 01",IF(L40&gt;=PPO_L2,"Layer 02",IF(L40&gt;=PPO_L3,"Layer 03",IF(L40&gt;=PPO_L4,"Layer 04","Layer 05"))))</f>
        <v>Layer 03</v>
      </c>
      <c r="R40" s="29" t="n">
        <f aca="false">D40/IdealPPO-E40</f>
        <v>573.124</v>
      </c>
      <c r="S40" s="29" t="n">
        <f aca="false">IdealTP*Weeks-(Weeks*J40+FirstFill)</f>
        <v>-58.7</v>
      </c>
      <c r="T40" s="29" t="n">
        <f aca="false">IF(S40&gt;0,(F40-IdealTP*Weeks*E40)/S40,1000000000000)</f>
        <v>1000000000000</v>
      </c>
      <c r="U40" s="27" t="n">
        <f aca="false">IF(E40&lt;=0,0,IF(G40&lt;=IdealTP,0,IF(L40&lt;=IdealPPO,0,INT(MIN(T40,R40)+0.000000001))))</f>
        <v>573</v>
      </c>
      <c r="V40" s="7" t="str">
        <f aca="false">IF(E40&lt;=0,"No current outlets",IF(G40&lt;=IdealTP,"TP already at or below ideal",IF(L40&lt;=IdealPPO,"PPO already at or below ideal",IF(T40&lt;=R40,"Stopped by TP reaching ideal","Stopped by PPO reaching ideal"))))</f>
        <v>Stopped by PPO reaching ideal</v>
      </c>
      <c r="W40" s="30" t="n">
        <f aca="false">F40+U40*(Weeks*J40+FirstFill)</f>
        <v>581930.5</v>
      </c>
      <c r="X40" s="30" t="n">
        <f aca="false">E40+U40</f>
        <v>679</v>
      </c>
      <c r="Y40" s="24" t="n">
        <f aca="false">IFERROR(W40/(X40*Weeks),0)</f>
        <v>16.4815480910842</v>
      </c>
      <c r="Z40" s="30" t="n">
        <f aca="false">IFERROR(D40/X40,0)</f>
        <v>750.136966126657</v>
      </c>
      <c r="AA40" s="7" t="str">
        <f aca="false">IF(AND(K40&gt;=NationalPCC,L40&gt;IdealPPO),"Q1: High PCC, High PPO",IF(K40&gt;=NationalPCC,"Q2: High PCC, Low PPO",IF(L40&gt;IdealPPO,"Q3: Low PCC, High PPO","Q4: Low PCC, Low PPO")))</f>
        <v>Q3: Low PCC, High PPO</v>
      </c>
      <c r="AB40" s="7" t="str">
        <f aca="false">IF(K40&gt;=NationalPCC,IF(L40&gt;IdealPPO,"Phase 1","Phase 2"),"Phase 3")</f>
        <v>Phase 3</v>
      </c>
      <c r="AC40" s="7" t="str">
        <f aca="false">IF(AND(G40&gt;IdealTP,L40&gt;IdealPPO),"High TP, High PPO",IF(G40&gt;IdealTP,"High TP, Low PPO",IF(L40&gt;IdealPPO,"Low TP, High PPO","Low TP, Low PPO")))</f>
        <v>High TP, High PPO</v>
      </c>
      <c r="AD40" s="31" t="n">
        <f aca="false">INDEX(WaveNumbers,MATCH(C40,WaveNames,0))</f>
        <v>2</v>
      </c>
      <c r="AE40" s="32" t="n">
        <f aca="false">IF(U40&gt;0,AD40*10000000+VALUE(RIGHT(AB40,1))*1000000+(1000000-U40)+ROW()/1000000,"")</f>
        <v>23999427.00004</v>
      </c>
      <c r="AF40" s="31" t="n">
        <f aca="false">IF(U40&gt;0,COUNTIFS($AE$5:$AE$119,"&lt;"&amp;AE40)+1,"")</f>
        <v>22</v>
      </c>
      <c r="AG40" s="7" t="str">
        <f aca="false">IF(AF40="","No",IF(AF40&lt;=TopN,"Yes","No"))</f>
        <v>Yes</v>
      </c>
      <c r="AH40" s="30" t="n">
        <f aca="false">INT('District Data'!O40*ConvRate)</f>
        <v>33</v>
      </c>
      <c r="AI40" s="27" t="n">
        <f aca="false">MIN(U40,AH40)</f>
        <v>33</v>
      </c>
      <c r="AJ40" s="7" t="str">
        <f aca="false">IF(U40=0,"No expansion",IF(AH40&lt;U40,"Supply constrained (not enough shops)","Demand constrained (enough shops)"))</f>
        <v>Supply constrained (not enough shops)</v>
      </c>
      <c r="AK40" s="30" t="n">
        <f aca="false">IF(AG40="Yes",AI40,0)</f>
        <v>33</v>
      </c>
      <c r="AL40" s="26" t="n">
        <f aca="false">IF(AG40="Yes",IF(Budget1&gt;=ShortlistFinal,AK40,AK40/ShortlistFinal*Budget1),0)</f>
        <v>19.5121951219512</v>
      </c>
      <c r="AM40" s="30" t="n">
        <f aca="false">INT(AL40)</f>
        <v>19</v>
      </c>
      <c r="AN40" s="26" t="n">
        <f aca="false">IF(AND(AG40="Yes",Budget1&lt;ShortlistFinal),AL40-AM40,-1)</f>
        <v>0.512195121951219</v>
      </c>
      <c r="AO40" s="27" t="n">
        <f aca="false">IF(AG40&lt;&gt;"Yes",0,IF(Budget1&gt;=ShortlistFinal,AK40,AM40+IF(COUNTIFS($AN$5:$AN$119,"&gt;"&amp;AN40)+COUNTIFS($AN$5:$AN$119,AN40,$AF$5:$AF$119,"&lt;"&amp;AF40)&lt;Budget1-SUM($AM$5:$AM$119),1,0)))</f>
        <v>19</v>
      </c>
      <c r="AP40" s="26" t="n">
        <f aca="false">IF(AG40="Yes",IF(Budget2&gt;=ShortlistFinal,AK40,AK40/ShortlistFinal*Budget2),0)</f>
        <v>29.2682926829268</v>
      </c>
      <c r="AQ40" s="30" t="n">
        <f aca="false">INT(AP40)</f>
        <v>29</v>
      </c>
      <c r="AR40" s="26" t="n">
        <f aca="false">IF(AND(AG40="Yes",Budget2&lt;ShortlistFinal),AP40-AQ40,-1)</f>
        <v>0.26829268292683</v>
      </c>
      <c r="AS40" s="27" t="n">
        <f aca="false">IF(AG40&lt;&gt;"Yes",0,IF(Budget2&gt;=ShortlistFinal,AK40,AQ40+IF(COUNTIFS($AR$5:$AR$119,"&gt;"&amp;AR40)+COUNTIFS($AR$5:$AR$119,AR40,$AF$5:$AF$119,"&lt;"&amp;AF40)&lt;Budget2-SUM($AQ$5:$AQ$119),1,0)))</f>
        <v>29</v>
      </c>
      <c r="AT40" s="26" t="n">
        <f aca="false">AK40*Share2025</f>
        <v>11.6470588235294</v>
      </c>
      <c r="AU40" s="26" t="n">
        <f aca="false">AK40*Share2026</f>
        <v>11.6470588235294</v>
      </c>
      <c r="AV40" s="26" t="n">
        <f aca="false">AK40*Share2027</f>
        <v>9.70588235294118</v>
      </c>
      <c r="AW40" s="31" t="n">
        <f aca="false">INT(AT40)</f>
        <v>11</v>
      </c>
      <c r="AX40" s="31" t="n">
        <f aca="false">INT(AU40)</f>
        <v>11</v>
      </c>
      <c r="AY40" s="31" t="n">
        <f aca="false">INT(AV40)</f>
        <v>9</v>
      </c>
      <c r="AZ40" s="26" t="n">
        <f aca="false">AT40-AW40</f>
        <v>0.647058823529415</v>
      </c>
      <c r="BA40" s="26" t="n">
        <f aca="false">AU40-AX40</f>
        <v>0.647058823529415</v>
      </c>
      <c r="BB40" s="26" t="n">
        <f aca="false">AV40-AY40</f>
        <v>0.705882352941176</v>
      </c>
      <c r="BC40" s="31" t="n">
        <f aca="false">AK40-AW40-AX40-AY40</f>
        <v>2</v>
      </c>
      <c r="BD40" s="27" t="n">
        <f aca="false">AW40+IF((BA40&gt;AZ40)+(BB40&gt;AZ40)&lt;BC40,1,0)</f>
        <v>12</v>
      </c>
      <c r="BE40" s="27" t="n">
        <f aca="false">AX40+IF((AZ40&gt;BA40)+(BB40&gt;BA40)+(AZ40=BA40)&lt;BC40,1,0)</f>
        <v>11</v>
      </c>
      <c r="BF40" s="27" t="n">
        <f aca="false">AY40+IF((AZ40&gt;BB40)+(BA40&gt;BB40)+(AZ40=BB40)+(BA40=BB40)&lt;BC40,1,0)</f>
        <v>10</v>
      </c>
    </row>
    <row r="41" customFormat="false" ht="15" hidden="false" customHeight="false" outlineLevel="0" collapsed="false">
      <c r="A41" s="22" t="str">
        <f aca="false">'District Data'!A41</f>
        <v>Kachhi</v>
      </c>
      <c r="B41" s="22" t="str">
        <f aca="false">'District Data'!C41</f>
        <v>Multan Region</v>
      </c>
      <c r="C41" s="22" t="str">
        <f aca="false">'District Data'!D41</f>
        <v>Rest</v>
      </c>
      <c r="D41" s="23" t="n">
        <f aca="false">ROUND('District Data'!E41*'District Data'!F41,0)</f>
        <v>99695</v>
      </c>
      <c r="E41" s="23" t="n">
        <f aca="false">'District Data'!I41</f>
        <v>7</v>
      </c>
      <c r="F41" s="23" t="n">
        <f aca="false">'District Data'!L41</f>
        <v>2497.4</v>
      </c>
      <c r="G41" s="24" t="n">
        <f aca="false">IFERROR(F41/(E41*Weeks),0)</f>
        <v>6.86098901098901</v>
      </c>
      <c r="H41" s="25" t="n">
        <f aca="false">IFERROR('District Data'!N41/('District Data'!M41*Weeks),0)</f>
        <v>2.68846153846154</v>
      </c>
      <c r="I41" s="24" t="n">
        <f aca="false">IFERROR(SUMIFS('District Data'!$N$5:$N$119,'District Data'!$C$5:$C$119,B41)/(SUMIFS('District Data'!$M$5:$M$119,'District Data'!$C$5:$C$119,B41)*Weeks),0)</f>
        <v>8.16663285109386</v>
      </c>
      <c r="J41" s="24" t="n">
        <f aca="false">IF(TPBasis="NI TP",IF(H41&gt;0,H41,I41),G41)</f>
        <v>2.68846153846154</v>
      </c>
      <c r="K41" s="26" t="n">
        <f aca="false">IFERROR(F41/D41,0)</f>
        <v>0.0250504037313807</v>
      </c>
      <c r="L41" s="27" t="n">
        <f aca="false">IFERROR(D41/E41,0)</f>
        <v>14242.1428571429</v>
      </c>
      <c r="M41" s="28" t="n">
        <f aca="false">IFERROR('District Data'!L41/'District Data'!K41-1,0)</f>
        <v>-0.00549538069448863</v>
      </c>
      <c r="N41" s="28" t="n">
        <f aca="false">IFERROR(('District Data'!L41/'District Data'!J41)^(1/2)-1,0)</f>
        <v>-0.0337482837508847</v>
      </c>
      <c r="O41" s="28" t="n">
        <f aca="false">IFERROR('District Data'!I41/'District Data'!H41-1,0)</f>
        <v>0.166666666666667</v>
      </c>
      <c r="P41" s="7" t="str">
        <f aca="false">IF(K41&gt;=PCC_L1,"Layer 01",IF(K41&gt;=PCC_L2,"Layer 02",IF(K41&gt;=PCC_L3,"Layer 03",IF(K41&gt;=PCC_L4,"Layer 04","Layer 05"))))</f>
        <v>Layer 05</v>
      </c>
      <c r="Q41" s="7" t="str">
        <f aca="false">IF(L41&gt;=PPO_L1,"Layer 01",IF(L41&gt;=PPO_L2,"Layer 02",IF(L41&gt;=PPO_L3,"Layer 03",IF(L41&gt;=PPO_L4,"Layer 04","Layer 05"))))</f>
        <v>Layer 03</v>
      </c>
      <c r="R41" s="29" t="n">
        <f aca="false">D41/IdealPPO-E41</f>
        <v>125.926666666667</v>
      </c>
      <c r="S41" s="29" t="n">
        <f aca="false">IdealTP*Weeks-(Weeks*J41+FirstFill)</f>
        <v>560.2</v>
      </c>
      <c r="T41" s="29" t="n">
        <f aca="false">IF(S41&gt;0,(F41-IdealTP*Weeks*E41)/S41,1000000000000)</f>
        <v>-5.28846840414138</v>
      </c>
      <c r="U41" s="27" t="n">
        <f aca="false">IF(E41&lt;=0,0,IF(G41&lt;=IdealTP,0,IF(L41&lt;=IdealPPO,0,INT(MIN(T41,R41)+0.000000001))))</f>
        <v>0</v>
      </c>
      <c r="V41" s="7" t="str">
        <f aca="false">IF(E41&lt;=0,"No current outlets",IF(G41&lt;=IdealTP,"TP already at or below ideal",IF(L41&lt;=IdealPPO,"PPO already at or below ideal",IF(T41&lt;=R41,"Stopped by TP reaching ideal","Stopped by PPO reaching ideal"))))</f>
        <v>TP already at or below ideal</v>
      </c>
      <c r="W41" s="30" t="n">
        <f aca="false">F41+U41*(Weeks*J41+FirstFill)</f>
        <v>2497.4</v>
      </c>
      <c r="X41" s="30" t="n">
        <f aca="false">E41+U41</f>
        <v>7</v>
      </c>
      <c r="Y41" s="24" t="n">
        <f aca="false">IFERROR(W41/(X41*Weeks),0)</f>
        <v>6.86098901098901</v>
      </c>
      <c r="Z41" s="30" t="n">
        <f aca="false">IFERROR(D41/X41,0)</f>
        <v>14242.1428571429</v>
      </c>
      <c r="AA41" s="7" t="str">
        <f aca="false">IF(AND(K41&gt;=NationalPCC,L41&gt;IdealPPO),"Q1: High PCC, High PPO",IF(K41&gt;=NationalPCC,"Q2: High PCC, Low PPO",IF(L41&gt;IdealPPO,"Q3: Low PCC, High PPO","Q4: Low PCC, Low PPO")))</f>
        <v>Q3: Low PCC, High PPO</v>
      </c>
      <c r="AB41" s="7" t="str">
        <f aca="false">IF(K41&gt;=NationalPCC,IF(L41&gt;IdealPPO,"Phase 1","Phase 2"),"Phase 3")</f>
        <v>Phase 3</v>
      </c>
      <c r="AC41" s="7" t="str">
        <f aca="false">IF(AND(G41&gt;IdealTP,L41&gt;IdealPPO),"High TP, High PPO",IF(G41&gt;IdealTP,"High TP, Low PPO",IF(L41&gt;IdealPPO,"Low TP, High PPO","Low TP, Low PPO")))</f>
        <v>Low TP, High PPO</v>
      </c>
      <c r="AD41" s="31" t="n">
        <f aca="false">INDEX(WaveNumbers,MATCH(C41,WaveNames,0))</f>
        <v>4</v>
      </c>
      <c r="AE41" s="32" t="str">
        <f aca="false">IF(U41&gt;0,AD41*10000000+VALUE(RIGHT(AB41,1))*1000000+(1000000-U41)+ROW()/1000000,"")</f>
        <v/>
      </c>
      <c r="AF41" s="31" t="str">
        <f aca="false">IF(U41&gt;0,COUNTIFS($AE$5:$AE$119,"&lt;"&amp;AE41)+1,"")</f>
        <v/>
      </c>
      <c r="AG41" s="7" t="str">
        <f aca="false">IF(AF41="","No",IF(AF41&lt;=TopN,"Yes","No"))</f>
        <v>No</v>
      </c>
      <c r="AH41" s="30" t="n">
        <f aca="false">INT('District Data'!O41*ConvRate)</f>
        <v>14</v>
      </c>
      <c r="AI41" s="27" t="n">
        <f aca="false">MIN(U41,AH41)</f>
        <v>0</v>
      </c>
      <c r="AJ41" s="7" t="str">
        <f aca="false">IF(U41=0,"No expansion",IF(AH41&lt;U41,"Supply constrained (not enough shops)","Demand constrained (enough shops)"))</f>
        <v>No expansion</v>
      </c>
      <c r="AK41" s="30" t="n">
        <f aca="false">IF(AG41="Yes",AI41,0)</f>
        <v>0</v>
      </c>
      <c r="AL41" s="26" t="n">
        <f aca="false">IF(AG41="Yes",IF(Budget1&gt;=ShortlistFinal,AK41,AK41/ShortlistFinal*Budget1),0)</f>
        <v>0</v>
      </c>
      <c r="AM41" s="30" t="n">
        <f aca="false">INT(AL41)</f>
        <v>0</v>
      </c>
      <c r="AN41" s="26" t="n">
        <f aca="false">IF(AND(AG41="Yes",Budget1&lt;ShortlistFinal),AL41-AM41,-1)</f>
        <v>-1</v>
      </c>
      <c r="AO41" s="27" t="n">
        <f aca="false">IF(AG41&lt;&gt;"Yes",0,IF(Budget1&gt;=ShortlistFinal,AK41,AM41+IF(COUNTIFS($AN$5:$AN$119,"&gt;"&amp;AN41)+COUNTIFS($AN$5:$AN$119,AN41,$AF$5:$AF$119,"&lt;"&amp;AF41)&lt;Budget1-SUM($AM$5:$AM$119),1,0)))</f>
        <v>0</v>
      </c>
      <c r="AP41" s="26" t="n">
        <f aca="false">IF(AG41="Yes",IF(Budget2&gt;=ShortlistFinal,AK41,AK41/ShortlistFinal*Budget2),0)</f>
        <v>0</v>
      </c>
      <c r="AQ41" s="30" t="n">
        <f aca="false">INT(AP41)</f>
        <v>0</v>
      </c>
      <c r="AR41" s="26" t="n">
        <f aca="false">IF(AND(AG41="Yes",Budget2&lt;ShortlistFinal),AP41-AQ41,-1)</f>
        <v>-1</v>
      </c>
      <c r="AS41" s="27" t="n">
        <f aca="false">IF(AG41&lt;&gt;"Yes",0,IF(Budget2&gt;=ShortlistFinal,AK41,AQ41+IF(COUNTIFS($AR$5:$AR$119,"&gt;"&amp;AR41)+COUNTIFS($AR$5:$AR$119,AR41,$AF$5:$AF$119,"&lt;"&amp;AF41)&lt;Budget2-SUM($AQ$5:$AQ$119),1,0)))</f>
        <v>0</v>
      </c>
      <c r="AT41" s="26" t="n">
        <f aca="false">AK41*Share2025</f>
        <v>0</v>
      </c>
      <c r="AU41" s="26" t="n">
        <f aca="false">AK41*Share2026</f>
        <v>0</v>
      </c>
      <c r="AV41" s="26" t="n">
        <f aca="false">AK41*Share2027</f>
        <v>0</v>
      </c>
      <c r="AW41" s="31" t="n">
        <f aca="false">INT(AT41)</f>
        <v>0</v>
      </c>
      <c r="AX41" s="31" t="n">
        <f aca="false">INT(AU41)</f>
        <v>0</v>
      </c>
      <c r="AY41" s="31" t="n">
        <f aca="false">INT(AV41)</f>
        <v>0</v>
      </c>
      <c r="AZ41" s="26" t="n">
        <f aca="false">AT41-AW41</f>
        <v>0</v>
      </c>
      <c r="BA41" s="26" t="n">
        <f aca="false">AU41-AX41</f>
        <v>0</v>
      </c>
      <c r="BB41" s="26" t="n">
        <f aca="false">AV41-AY41</f>
        <v>0</v>
      </c>
      <c r="BC41" s="31" t="n">
        <f aca="false">AK41-AW41-AX41-AY41</f>
        <v>0</v>
      </c>
      <c r="BD41" s="27" t="n">
        <f aca="false">AW41+IF((BA41&gt;AZ41)+(BB41&gt;AZ41)&lt;BC41,1,0)</f>
        <v>0</v>
      </c>
      <c r="BE41" s="27" t="n">
        <f aca="false">AX41+IF((AZ41&gt;BA41)+(BB41&gt;BA41)+(AZ41=BA41)&lt;BC41,1,0)</f>
        <v>0</v>
      </c>
      <c r="BF41" s="27" t="n">
        <f aca="false">AY41+IF((AZ41&gt;BB41)+(BA41&gt;BB41)+(AZ41=BB41)+(BA41=BB41)&lt;BC41,1,0)</f>
        <v>0</v>
      </c>
    </row>
    <row r="42" customFormat="false" ht="15" hidden="false" customHeight="false" outlineLevel="0" collapsed="false">
      <c r="A42" s="22" t="str">
        <f aca="false">'District Data'!A42</f>
        <v>Kalat</v>
      </c>
      <c r="B42" s="22" t="str">
        <f aca="false">'District Data'!C42</f>
        <v>Karachi Region</v>
      </c>
      <c r="C42" s="22" t="str">
        <f aca="false">'District Data'!D42</f>
        <v>Rest</v>
      </c>
      <c r="D42" s="23" t="n">
        <f aca="false">ROUND('District Data'!E42*'District Data'!F42,0)</f>
        <v>104590</v>
      </c>
      <c r="E42" s="23" t="n">
        <f aca="false">'District Data'!I42</f>
        <v>4</v>
      </c>
      <c r="F42" s="23" t="n">
        <f aca="false">'District Data'!L42</f>
        <v>1634.4</v>
      </c>
      <c r="G42" s="24" t="n">
        <f aca="false">IFERROR(F42/(E42*Weeks),0)</f>
        <v>7.85769230769231</v>
      </c>
      <c r="H42" s="25" t="n">
        <f aca="false">IFERROR('District Data'!N42/('District Data'!M42*Weeks),0)</f>
        <v>3.01153846153846</v>
      </c>
      <c r="I42" s="24" t="n">
        <f aca="false">IFERROR(SUMIFS('District Data'!$N$5:$N$119,'District Data'!$C$5:$C$119,B42)/(SUMIFS('District Data'!$M$5:$M$119,'District Data'!$C$5:$C$119,B42)*Weeks),0)</f>
        <v>12.952446872194</v>
      </c>
      <c r="J42" s="24" t="n">
        <f aca="false">IF(TPBasis="NI TP",IF(H42&gt;0,H42,I42),G42)</f>
        <v>3.01153846153846</v>
      </c>
      <c r="K42" s="26" t="n">
        <f aca="false">IFERROR(F42/D42,0)</f>
        <v>0.0156267329572617</v>
      </c>
      <c r="L42" s="27" t="n">
        <f aca="false">IFERROR(D42/E42,0)</f>
        <v>26147.5</v>
      </c>
      <c r="M42" s="28" t="n">
        <f aca="false">IFERROR('District Data'!L42/'District Data'!K42-1,0)</f>
        <v>0.0582065393331175</v>
      </c>
      <c r="N42" s="28" t="n">
        <f aca="false">IFERROR(('District Data'!L42/'District Data'!J42)^(1/2)-1,0)</f>
        <v>0.168362705102323</v>
      </c>
      <c r="O42" s="28" t="n">
        <f aca="false">IFERROR('District Data'!I42/'District Data'!H42-1,0)</f>
        <v>0.333333333333333</v>
      </c>
      <c r="P42" s="7" t="str">
        <f aca="false">IF(K42&gt;=PCC_L1,"Layer 01",IF(K42&gt;=PCC_L2,"Layer 02",IF(K42&gt;=PCC_L3,"Layer 03",IF(K42&gt;=PCC_L4,"Layer 04","Layer 05"))))</f>
        <v>Layer 05</v>
      </c>
      <c r="Q42" s="7" t="str">
        <f aca="false">IF(L42&gt;=PPO_L1,"Layer 01",IF(L42&gt;=PPO_L2,"Layer 02",IF(L42&gt;=PPO_L3,"Layer 03",IF(L42&gt;=PPO_L4,"Layer 04","Layer 05"))))</f>
        <v>Layer 02</v>
      </c>
      <c r="R42" s="29" t="n">
        <f aca="false">D42/IdealPPO-E42</f>
        <v>135.453333333333</v>
      </c>
      <c r="S42" s="29" t="n">
        <f aca="false">IdealTP*Weeks-(Weeks*J42+FirstFill)</f>
        <v>543.4</v>
      </c>
      <c r="T42" s="29" t="n">
        <f aca="false">IF(S42&gt;0,(F42-IdealTP*Weeks*E42)/S42,1000000000000)</f>
        <v>-2.7338976812661</v>
      </c>
      <c r="U42" s="27" t="n">
        <f aca="false">IF(E42&lt;=0,0,IF(G42&lt;=IdealTP,0,IF(L42&lt;=IdealPPO,0,INT(MIN(T42,R42)+0.000000001))))</f>
        <v>0</v>
      </c>
      <c r="V42" s="7" t="str">
        <f aca="false">IF(E42&lt;=0,"No current outlets",IF(G42&lt;=IdealTP,"TP already at or below ideal",IF(L42&lt;=IdealPPO,"PPO already at or below ideal",IF(T42&lt;=R42,"Stopped by TP reaching ideal","Stopped by PPO reaching ideal"))))</f>
        <v>TP already at or below ideal</v>
      </c>
      <c r="W42" s="30" t="n">
        <f aca="false">F42+U42*(Weeks*J42+FirstFill)</f>
        <v>1634.4</v>
      </c>
      <c r="X42" s="30" t="n">
        <f aca="false">E42+U42</f>
        <v>4</v>
      </c>
      <c r="Y42" s="24" t="n">
        <f aca="false">IFERROR(W42/(X42*Weeks),0)</f>
        <v>7.85769230769231</v>
      </c>
      <c r="Z42" s="30" t="n">
        <f aca="false">IFERROR(D42/X42,0)</f>
        <v>26147.5</v>
      </c>
      <c r="AA42" s="7" t="str">
        <f aca="false">IF(AND(K42&gt;=NationalPCC,L42&gt;IdealPPO),"Q1: High PCC, High PPO",IF(K42&gt;=NationalPCC,"Q2: High PCC, Low PPO",IF(L42&gt;IdealPPO,"Q3: Low PCC, High PPO","Q4: Low PCC, Low PPO")))</f>
        <v>Q3: Low PCC, High PPO</v>
      </c>
      <c r="AB42" s="7" t="str">
        <f aca="false">IF(K42&gt;=NationalPCC,IF(L42&gt;IdealPPO,"Phase 1","Phase 2"),"Phase 3")</f>
        <v>Phase 3</v>
      </c>
      <c r="AC42" s="7" t="str">
        <f aca="false">IF(AND(G42&gt;IdealTP,L42&gt;IdealPPO),"High TP, High PPO",IF(G42&gt;IdealTP,"High TP, Low PPO",IF(L42&gt;IdealPPO,"Low TP, High PPO","Low TP, Low PPO")))</f>
        <v>Low TP, High PPO</v>
      </c>
      <c r="AD42" s="31" t="n">
        <f aca="false">INDEX(WaveNumbers,MATCH(C42,WaveNames,0))</f>
        <v>4</v>
      </c>
      <c r="AE42" s="32" t="str">
        <f aca="false">IF(U42&gt;0,AD42*10000000+VALUE(RIGHT(AB42,1))*1000000+(1000000-U42)+ROW()/1000000,"")</f>
        <v/>
      </c>
      <c r="AF42" s="31" t="str">
        <f aca="false">IF(U42&gt;0,COUNTIFS($AE$5:$AE$119,"&lt;"&amp;AE42)+1,"")</f>
        <v/>
      </c>
      <c r="AG42" s="7" t="str">
        <f aca="false">IF(AF42="","No",IF(AF42&lt;=TopN,"Yes","No"))</f>
        <v>No</v>
      </c>
      <c r="AH42" s="30" t="n">
        <f aca="false">INT('District Data'!O42*ConvRate)</f>
        <v>4</v>
      </c>
      <c r="AI42" s="27" t="n">
        <f aca="false">MIN(U42,AH42)</f>
        <v>0</v>
      </c>
      <c r="AJ42" s="7" t="str">
        <f aca="false">IF(U42=0,"No expansion",IF(AH42&lt;U42,"Supply constrained (not enough shops)","Demand constrained (enough shops)"))</f>
        <v>No expansion</v>
      </c>
      <c r="AK42" s="30" t="n">
        <f aca="false">IF(AG42="Yes",AI42,0)</f>
        <v>0</v>
      </c>
      <c r="AL42" s="26" t="n">
        <f aca="false">IF(AG42="Yes",IF(Budget1&gt;=ShortlistFinal,AK42,AK42/ShortlistFinal*Budget1),0)</f>
        <v>0</v>
      </c>
      <c r="AM42" s="30" t="n">
        <f aca="false">INT(AL42)</f>
        <v>0</v>
      </c>
      <c r="AN42" s="26" t="n">
        <f aca="false">IF(AND(AG42="Yes",Budget1&lt;ShortlistFinal),AL42-AM42,-1)</f>
        <v>-1</v>
      </c>
      <c r="AO42" s="27" t="n">
        <f aca="false">IF(AG42&lt;&gt;"Yes",0,IF(Budget1&gt;=ShortlistFinal,AK42,AM42+IF(COUNTIFS($AN$5:$AN$119,"&gt;"&amp;AN42)+COUNTIFS($AN$5:$AN$119,AN42,$AF$5:$AF$119,"&lt;"&amp;AF42)&lt;Budget1-SUM($AM$5:$AM$119),1,0)))</f>
        <v>0</v>
      </c>
      <c r="AP42" s="26" t="n">
        <f aca="false">IF(AG42="Yes",IF(Budget2&gt;=ShortlistFinal,AK42,AK42/ShortlistFinal*Budget2),0)</f>
        <v>0</v>
      </c>
      <c r="AQ42" s="30" t="n">
        <f aca="false">INT(AP42)</f>
        <v>0</v>
      </c>
      <c r="AR42" s="26" t="n">
        <f aca="false">IF(AND(AG42="Yes",Budget2&lt;ShortlistFinal),AP42-AQ42,-1)</f>
        <v>-1</v>
      </c>
      <c r="AS42" s="27" t="n">
        <f aca="false">IF(AG42&lt;&gt;"Yes",0,IF(Budget2&gt;=ShortlistFinal,AK42,AQ42+IF(COUNTIFS($AR$5:$AR$119,"&gt;"&amp;AR42)+COUNTIFS($AR$5:$AR$119,AR42,$AF$5:$AF$119,"&lt;"&amp;AF42)&lt;Budget2-SUM($AQ$5:$AQ$119),1,0)))</f>
        <v>0</v>
      </c>
      <c r="AT42" s="26" t="n">
        <f aca="false">AK42*Share2025</f>
        <v>0</v>
      </c>
      <c r="AU42" s="26" t="n">
        <f aca="false">AK42*Share2026</f>
        <v>0</v>
      </c>
      <c r="AV42" s="26" t="n">
        <f aca="false">AK42*Share2027</f>
        <v>0</v>
      </c>
      <c r="AW42" s="31" t="n">
        <f aca="false">INT(AT42)</f>
        <v>0</v>
      </c>
      <c r="AX42" s="31" t="n">
        <f aca="false">INT(AU42)</f>
        <v>0</v>
      </c>
      <c r="AY42" s="31" t="n">
        <f aca="false">INT(AV42)</f>
        <v>0</v>
      </c>
      <c r="AZ42" s="26" t="n">
        <f aca="false">AT42-AW42</f>
        <v>0</v>
      </c>
      <c r="BA42" s="26" t="n">
        <f aca="false">AU42-AX42</f>
        <v>0</v>
      </c>
      <c r="BB42" s="26" t="n">
        <f aca="false">AV42-AY42</f>
        <v>0</v>
      </c>
      <c r="BC42" s="31" t="n">
        <f aca="false">AK42-AW42-AX42-AY42</f>
        <v>0</v>
      </c>
      <c r="BD42" s="27" t="n">
        <f aca="false">AW42+IF((BA42&gt;AZ42)+(BB42&gt;AZ42)&lt;BC42,1,0)</f>
        <v>0</v>
      </c>
      <c r="BE42" s="27" t="n">
        <f aca="false">AX42+IF((AZ42&gt;BA42)+(BB42&gt;BA42)+(AZ42=BA42)&lt;BC42,1,0)</f>
        <v>0</v>
      </c>
      <c r="BF42" s="27" t="n">
        <f aca="false">AY42+IF((AZ42&gt;BB42)+(BA42&gt;BB42)+(AZ42=BB42)+(BA42=BB42)&lt;BC42,1,0)</f>
        <v>0</v>
      </c>
    </row>
    <row r="43" customFormat="false" ht="15" hidden="false" customHeight="false" outlineLevel="0" collapsed="false">
      <c r="A43" s="22" t="str">
        <f aca="false">'District Data'!A43</f>
        <v>Karachi</v>
      </c>
      <c r="B43" s="22" t="str">
        <f aca="false">'District Data'!C43</f>
        <v>Karachi Region</v>
      </c>
      <c r="C43" s="22" t="str">
        <f aca="false">'District Data'!D43</f>
        <v>Stronghold</v>
      </c>
      <c r="D43" s="23" t="n">
        <f aca="false">ROUND('District Data'!E43*'District Data'!F43,0)</f>
        <v>14681988</v>
      </c>
      <c r="E43" s="23" t="n">
        <f aca="false">'District Data'!I43</f>
        <v>8049</v>
      </c>
      <c r="F43" s="23" t="n">
        <f aca="false">'District Data'!L43</f>
        <v>8864528</v>
      </c>
      <c r="G43" s="24" t="n">
        <f aca="false">IFERROR(F43/(E43*Weeks),0)</f>
        <v>21.1792387014154</v>
      </c>
      <c r="H43" s="25" t="n">
        <f aca="false">IFERROR('District Data'!N43/('District Data'!M43*Weeks),0)</f>
        <v>14.5758623763259</v>
      </c>
      <c r="I43" s="24" t="n">
        <f aca="false">IFERROR(SUMIFS('District Data'!$N$5:$N$119,'District Data'!$C$5:$C$119,B43)/(SUMIFS('District Data'!$M$5:$M$119,'District Data'!$C$5:$C$119,B43)*Weeks),0)</f>
        <v>12.952446872194</v>
      </c>
      <c r="J43" s="24" t="n">
        <f aca="false">IF(TPBasis="NI TP",IF(H43&gt;0,H43,I43),G43)</f>
        <v>14.5758623763259</v>
      </c>
      <c r="K43" s="26" t="n">
        <f aca="false">IFERROR(F43/D43,0)</f>
        <v>0.60376891739729</v>
      </c>
      <c r="L43" s="27" t="n">
        <f aca="false">IFERROR(D43/E43,0)</f>
        <v>1824.07603428997</v>
      </c>
      <c r="M43" s="28" t="n">
        <f aca="false">IFERROR('District Data'!L43/'District Data'!K43-1,0)</f>
        <v>0.0205658244514433</v>
      </c>
      <c r="N43" s="28" t="n">
        <f aca="false">IFERROR(('District Data'!L43/'District Data'!J43)^(1/2)-1,0)</f>
        <v>0.0230745355369346</v>
      </c>
      <c r="O43" s="28" t="n">
        <f aca="false">IFERROR('District Data'!I43/'District Data'!H43-1,0)</f>
        <v>0.0799677982020663</v>
      </c>
      <c r="P43" s="7" t="str">
        <f aca="false">IF(K43&gt;=PCC_L1,"Layer 01",IF(K43&gt;=PCC_L2,"Layer 02",IF(K43&gt;=PCC_L3,"Layer 03",IF(K43&gt;=PCC_L4,"Layer 04","Layer 05"))))</f>
        <v>Layer 03</v>
      </c>
      <c r="Q43" s="7" t="str">
        <f aca="false">IF(L43&gt;=PPO_L1,"Layer 01",IF(L43&gt;=PPO_L2,"Layer 02",IF(L43&gt;=PPO_L3,"Layer 03",IF(L43&gt;=PPO_L4,"Layer 04","Layer 05"))))</f>
        <v>Layer 04</v>
      </c>
      <c r="R43" s="29" t="n">
        <f aca="false">D43/IdealPPO-E43</f>
        <v>11526.984</v>
      </c>
      <c r="S43" s="29" t="n">
        <f aca="false">IdealTP*Weeks-(Weeks*J43+FirstFill)</f>
        <v>-57.9448435689455</v>
      </c>
      <c r="T43" s="29" t="n">
        <f aca="false">IF(S43&gt;0,(F43-IdealTP*Weeks*E43)/S43,1000000000000)</f>
        <v>1000000000000</v>
      </c>
      <c r="U43" s="27" t="n">
        <f aca="false">IF(E43&lt;=0,0,IF(G43&lt;=IdealTP,0,IF(L43&lt;=IdealPPO,0,INT(MIN(T43,R43)+0.000000001))))</f>
        <v>11526</v>
      </c>
      <c r="V43" s="7" t="str">
        <f aca="false">IF(E43&lt;=0,"No current outlets",IF(G43&lt;=IdealTP,"TP already at or below ideal",IF(L43&lt;=IdealPPO,"PPO already at or below ideal",IF(T43&lt;=R43,"Stopped by TP reaching ideal","Stopped by PPO reaching ideal"))))</f>
        <v>Stopped by PPO reaching ideal</v>
      </c>
      <c r="W43" s="30" t="n">
        <f aca="false">F43+U43*(Weeks*J43+FirstFill)</f>
        <v>18522680.2669757</v>
      </c>
      <c r="X43" s="30" t="n">
        <f aca="false">E43+U43</f>
        <v>19575</v>
      </c>
      <c r="Y43" s="24" t="n">
        <f aca="false">IFERROR(W43/(X43*Weeks),0)</f>
        <v>18.1969547764767</v>
      </c>
      <c r="Z43" s="30" t="n">
        <f aca="false">IFERROR(D43/X43,0)</f>
        <v>750.037701149425</v>
      </c>
      <c r="AA43" s="7" t="str">
        <f aca="false">IF(AND(K43&gt;=NationalPCC,L43&gt;IdealPPO),"Q1: High PCC, High PPO",IF(K43&gt;=NationalPCC,"Q2: High PCC, Low PPO",IF(L43&gt;IdealPPO,"Q3: Low PCC, High PPO","Q4: Low PCC, Low PPO")))</f>
        <v>Q1: High PCC, High PPO</v>
      </c>
      <c r="AB43" s="7" t="str">
        <f aca="false">IF(K43&gt;=NationalPCC,IF(L43&gt;IdealPPO,"Phase 1","Phase 2"),"Phase 3")</f>
        <v>Phase 1</v>
      </c>
      <c r="AC43" s="7" t="str">
        <f aca="false">IF(AND(G43&gt;IdealTP,L43&gt;IdealPPO),"High TP, High PPO",IF(G43&gt;IdealTP,"High TP, Low PPO",IF(L43&gt;IdealPPO,"Low TP, High PPO","Low TP, Low PPO")))</f>
        <v>High TP, High PPO</v>
      </c>
      <c r="AD43" s="31" t="n">
        <f aca="false">INDEX(WaveNumbers,MATCH(C43,WaveNames,0))</f>
        <v>1</v>
      </c>
      <c r="AE43" s="32" t="n">
        <f aca="false">IF(U43&gt;0,AD43*10000000+VALUE(RIGHT(AB43,1))*1000000+(1000000-U43)+ROW()/1000000,"")</f>
        <v>11988474.000043</v>
      </c>
      <c r="AF43" s="31" t="n">
        <f aca="false">IF(U43&gt;0,COUNTIFS($AE$5:$AE$119,"&lt;"&amp;AE43)+1,"")</f>
        <v>1</v>
      </c>
      <c r="AG43" s="7" t="str">
        <f aca="false">IF(AF43="","No",IF(AF43&lt;=TopN,"Yes","No"))</f>
        <v>Yes</v>
      </c>
      <c r="AH43" s="30" t="n">
        <f aca="false">INT('District Data'!O43*ConvRate)</f>
        <v>1906</v>
      </c>
      <c r="AI43" s="27" t="n">
        <f aca="false">MIN(U43,AH43)</f>
        <v>1906</v>
      </c>
      <c r="AJ43" s="7" t="str">
        <f aca="false">IF(U43=0,"No expansion",IF(AH43&lt;U43,"Supply constrained (not enough shops)","Demand constrained (enough shops)"))</f>
        <v>Supply constrained (not enough shops)</v>
      </c>
      <c r="AK43" s="30" t="n">
        <f aca="false">IF(AG43="Yes",AI43,0)</f>
        <v>1906</v>
      </c>
      <c r="AL43" s="26" t="n">
        <f aca="false">IF(AG43="Yes",IF(Budget1&gt;=ShortlistFinal,AK43,AK43/ShortlistFinal*Budget1),0)</f>
        <v>1126.9770879527</v>
      </c>
      <c r="AM43" s="30" t="n">
        <f aca="false">INT(AL43)</f>
        <v>1126</v>
      </c>
      <c r="AN43" s="26" t="n">
        <f aca="false">IF(AND(AG43="Yes",Budget1&lt;ShortlistFinal),AL43-AM43,-1)</f>
        <v>0.97708795269773</v>
      </c>
      <c r="AO43" s="27" t="n">
        <f aca="false">IF(AG43&lt;&gt;"Yes",0,IF(Budget1&gt;=ShortlistFinal,AK43,AM43+IF(COUNTIFS($AN$5:$AN$119,"&gt;"&amp;AN43)+COUNTIFS($AN$5:$AN$119,AN43,$AF$5:$AF$119,"&lt;"&amp;AF43)&lt;Budget1-SUM($AM$5:$AM$119),1,0)))</f>
        <v>1127</v>
      </c>
      <c r="AP43" s="26" t="n">
        <f aca="false">IF(AG43="Yes",IF(Budget2&gt;=ShortlistFinal,AK43,AK43/ShortlistFinal*Budget2),0)</f>
        <v>1690.46563192905</v>
      </c>
      <c r="AQ43" s="30" t="n">
        <f aca="false">INT(AP43)</f>
        <v>1690</v>
      </c>
      <c r="AR43" s="26" t="n">
        <f aca="false">IF(AND(AG43="Yes",Budget2&lt;ShortlistFinal),AP43-AQ43,-1)</f>
        <v>0.465631929046594</v>
      </c>
      <c r="AS43" s="27" t="n">
        <f aca="false">IF(AG43&lt;&gt;"Yes",0,IF(Budget2&gt;=ShortlistFinal,AK43,AQ43+IF(COUNTIFS($AR$5:$AR$119,"&gt;"&amp;AR43)+COUNTIFS($AR$5:$AR$119,AR43,$AF$5:$AF$119,"&lt;"&amp;AF43)&lt;Budget2-SUM($AQ$5:$AQ$119),1,0)))</f>
        <v>1690</v>
      </c>
      <c r="AT43" s="26" t="n">
        <f aca="false">AK43*Share2025</f>
        <v>672.705882352941</v>
      </c>
      <c r="AU43" s="26" t="n">
        <f aca="false">AK43*Share2026</f>
        <v>672.705882352941</v>
      </c>
      <c r="AV43" s="26" t="n">
        <f aca="false">AK43*Share2027</f>
        <v>560.588235294118</v>
      </c>
      <c r="AW43" s="31" t="n">
        <f aca="false">INT(AT43)</f>
        <v>672</v>
      </c>
      <c r="AX43" s="31" t="n">
        <f aca="false">INT(AU43)</f>
        <v>672</v>
      </c>
      <c r="AY43" s="31" t="n">
        <f aca="false">INT(AV43)</f>
        <v>560</v>
      </c>
      <c r="AZ43" s="26" t="n">
        <f aca="false">AT43-AW43</f>
        <v>0.70588235294133</v>
      </c>
      <c r="BA43" s="26" t="n">
        <f aca="false">AU43-AX43</f>
        <v>0.70588235294133</v>
      </c>
      <c r="BB43" s="26" t="n">
        <f aca="false">AV43-AY43</f>
        <v>0.588235294117567</v>
      </c>
      <c r="BC43" s="31" t="n">
        <f aca="false">AK43-AW43-AX43-AY43</f>
        <v>2</v>
      </c>
      <c r="BD43" s="27" t="n">
        <f aca="false">AW43+IF((BA43&gt;AZ43)+(BB43&gt;AZ43)&lt;BC43,1,0)</f>
        <v>673</v>
      </c>
      <c r="BE43" s="27" t="n">
        <f aca="false">AX43+IF((AZ43&gt;BA43)+(BB43&gt;BA43)+(AZ43=BA43)&lt;BC43,1,0)</f>
        <v>673</v>
      </c>
      <c r="BF43" s="27" t="n">
        <f aca="false">AY43+IF((AZ43&gt;BB43)+(BA43&gt;BB43)+(AZ43=BB43)+(BA43=BB43)&lt;BC43,1,0)</f>
        <v>560</v>
      </c>
    </row>
    <row r="44" customFormat="false" ht="15" hidden="false" customHeight="false" outlineLevel="0" collapsed="false">
      <c r="A44" s="22" t="str">
        <f aca="false">'District Data'!A44</f>
        <v>Karak</v>
      </c>
      <c r="B44" s="22" t="str">
        <f aca="false">'District Data'!C44</f>
        <v>Peshawar Region</v>
      </c>
      <c r="C44" s="22" t="str">
        <f aca="false">'District Data'!D44</f>
        <v>Rest</v>
      </c>
      <c r="D44" s="23" t="n">
        <f aca="false">ROUND('District Data'!E44*'District Data'!F44,0)</f>
        <v>91951</v>
      </c>
      <c r="E44" s="23" t="n">
        <f aca="false">'District Data'!I44</f>
        <v>8</v>
      </c>
      <c r="F44" s="23" t="n">
        <f aca="false">'District Data'!L44</f>
        <v>4466.2</v>
      </c>
      <c r="G44" s="24" t="n">
        <f aca="false">IFERROR(F44/(E44*Weeks),0)</f>
        <v>10.7360576923077</v>
      </c>
      <c r="H44" s="25" t="n">
        <f aca="false">IFERROR('District Data'!N44/('District Data'!M44*Weeks),0)</f>
        <v>12.7903846153846</v>
      </c>
      <c r="I44" s="24" t="n">
        <f aca="false">IFERROR(SUMIFS('District Data'!$N$5:$N$119,'District Data'!$C$5:$C$119,B44)/(SUMIFS('District Data'!$M$5:$M$119,'District Data'!$C$5:$C$119,B44)*Weeks),0)</f>
        <v>7.60397053195561</v>
      </c>
      <c r="J44" s="24" t="n">
        <f aca="false">IF(TPBasis="NI TP",IF(H44&gt;0,H44,I44),G44)</f>
        <v>12.7903846153846</v>
      </c>
      <c r="K44" s="26" t="n">
        <f aca="false">IFERROR(F44/D44,0)</f>
        <v>0.0485715217887788</v>
      </c>
      <c r="L44" s="27" t="n">
        <f aca="false">IFERROR(D44/E44,0)</f>
        <v>11493.875</v>
      </c>
      <c r="M44" s="28" t="n">
        <f aca="false">IFERROR('District Data'!L44/'District Data'!K44-1,0)</f>
        <v>0.0898221126863668</v>
      </c>
      <c r="N44" s="28" t="n">
        <f aca="false">IFERROR(('District Data'!L44/'District Data'!J44)^(1/2)-1,0)</f>
        <v>0.0333216623282682</v>
      </c>
      <c r="O44" s="28" t="n">
        <f aca="false">IFERROR('District Data'!I44/'District Data'!H44-1,0)</f>
        <v>0.142857142857143</v>
      </c>
      <c r="P44" s="7" t="str">
        <f aca="false">IF(K44&gt;=PCC_L1,"Layer 01",IF(K44&gt;=PCC_L2,"Layer 02",IF(K44&gt;=PCC_L3,"Layer 03",IF(K44&gt;=PCC_L4,"Layer 04","Layer 05"))))</f>
        <v>Layer 05</v>
      </c>
      <c r="Q44" s="7" t="str">
        <f aca="false">IF(L44&gt;=PPO_L1,"Layer 01",IF(L44&gt;=PPO_L2,"Layer 02",IF(L44&gt;=PPO_L3,"Layer 03",IF(L44&gt;=PPO_L4,"Layer 04","Layer 05"))))</f>
        <v>Layer 03</v>
      </c>
      <c r="R44" s="29" t="n">
        <f aca="false">D44/IdealPPO-E44</f>
        <v>114.601333333333</v>
      </c>
      <c r="S44" s="29" t="n">
        <f aca="false">IdealTP*Weeks-(Weeks*J44+FirstFill)</f>
        <v>34.9</v>
      </c>
      <c r="T44" s="29" t="n">
        <f aca="false">IF(S44&gt;0,(F44-IdealTP*Weeks*E44)/S44,1000000000000)</f>
        <v>-50.8252148997135</v>
      </c>
      <c r="U44" s="27" t="n">
        <f aca="false">IF(E44&lt;=0,0,IF(G44&lt;=IdealTP,0,IF(L44&lt;=IdealPPO,0,INT(MIN(T44,R44)+0.000000001))))</f>
        <v>0</v>
      </c>
      <c r="V44" s="7" t="str">
        <f aca="false">IF(E44&lt;=0,"No current outlets",IF(G44&lt;=IdealTP,"TP already at or below ideal",IF(L44&lt;=IdealPPO,"PPO already at or below ideal",IF(T44&lt;=R44,"Stopped by TP reaching ideal","Stopped by PPO reaching ideal"))))</f>
        <v>TP already at or below ideal</v>
      </c>
      <c r="W44" s="30" t="n">
        <f aca="false">F44+U44*(Weeks*J44+FirstFill)</f>
        <v>4466.2</v>
      </c>
      <c r="X44" s="30" t="n">
        <f aca="false">E44+U44</f>
        <v>8</v>
      </c>
      <c r="Y44" s="24" t="n">
        <f aca="false">IFERROR(W44/(X44*Weeks),0)</f>
        <v>10.7360576923077</v>
      </c>
      <c r="Z44" s="30" t="n">
        <f aca="false">IFERROR(D44/X44,0)</f>
        <v>11493.875</v>
      </c>
      <c r="AA44" s="7" t="str">
        <f aca="false">IF(AND(K44&gt;=NationalPCC,L44&gt;IdealPPO),"Q1: High PCC, High PPO",IF(K44&gt;=NationalPCC,"Q2: High PCC, Low PPO",IF(L44&gt;IdealPPO,"Q3: Low PCC, High PPO","Q4: Low PCC, Low PPO")))</f>
        <v>Q3: Low PCC, High PPO</v>
      </c>
      <c r="AB44" s="7" t="str">
        <f aca="false">IF(K44&gt;=NationalPCC,IF(L44&gt;IdealPPO,"Phase 1","Phase 2"),"Phase 3")</f>
        <v>Phase 3</v>
      </c>
      <c r="AC44" s="7" t="str">
        <f aca="false">IF(AND(G44&gt;IdealTP,L44&gt;IdealPPO),"High TP, High PPO",IF(G44&gt;IdealTP,"High TP, Low PPO",IF(L44&gt;IdealPPO,"Low TP, High PPO","Low TP, Low PPO")))</f>
        <v>Low TP, High PPO</v>
      </c>
      <c r="AD44" s="31" t="n">
        <f aca="false">INDEX(WaveNumbers,MATCH(C44,WaveNames,0))</f>
        <v>4</v>
      </c>
      <c r="AE44" s="32" t="str">
        <f aca="false">IF(U44&gt;0,AD44*10000000+VALUE(RIGHT(AB44,1))*1000000+(1000000-U44)+ROW()/1000000,"")</f>
        <v/>
      </c>
      <c r="AF44" s="31" t="str">
        <f aca="false">IF(U44&gt;0,COUNTIFS($AE$5:$AE$119,"&lt;"&amp;AE44)+1,"")</f>
        <v/>
      </c>
      <c r="AG44" s="7" t="str">
        <f aca="false">IF(AF44="","No",IF(AF44&lt;=TopN,"Yes","No"))</f>
        <v>No</v>
      </c>
      <c r="AH44" s="30" t="n">
        <f aca="false">INT('District Data'!O44*ConvRate)</f>
        <v>10</v>
      </c>
      <c r="AI44" s="27" t="n">
        <f aca="false">MIN(U44,AH44)</f>
        <v>0</v>
      </c>
      <c r="AJ44" s="7" t="str">
        <f aca="false">IF(U44=0,"No expansion",IF(AH44&lt;U44,"Supply constrained (not enough shops)","Demand constrained (enough shops)"))</f>
        <v>No expansion</v>
      </c>
      <c r="AK44" s="30" t="n">
        <f aca="false">IF(AG44="Yes",AI44,0)</f>
        <v>0</v>
      </c>
      <c r="AL44" s="26" t="n">
        <f aca="false">IF(AG44="Yes",IF(Budget1&gt;=ShortlistFinal,AK44,AK44/ShortlistFinal*Budget1),0)</f>
        <v>0</v>
      </c>
      <c r="AM44" s="30" t="n">
        <f aca="false">INT(AL44)</f>
        <v>0</v>
      </c>
      <c r="AN44" s="26" t="n">
        <f aca="false">IF(AND(AG44="Yes",Budget1&lt;ShortlistFinal),AL44-AM44,-1)</f>
        <v>-1</v>
      </c>
      <c r="AO44" s="27" t="n">
        <f aca="false">IF(AG44&lt;&gt;"Yes",0,IF(Budget1&gt;=ShortlistFinal,AK44,AM44+IF(COUNTIFS($AN$5:$AN$119,"&gt;"&amp;AN44)+COUNTIFS($AN$5:$AN$119,AN44,$AF$5:$AF$119,"&lt;"&amp;AF44)&lt;Budget1-SUM($AM$5:$AM$119),1,0)))</f>
        <v>0</v>
      </c>
      <c r="AP44" s="26" t="n">
        <f aca="false">IF(AG44="Yes",IF(Budget2&gt;=ShortlistFinal,AK44,AK44/ShortlistFinal*Budget2),0)</f>
        <v>0</v>
      </c>
      <c r="AQ44" s="30" t="n">
        <f aca="false">INT(AP44)</f>
        <v>0</v>
      </c>
      <c r="AR44" s="26" t="n">
        <f aca="false">IF(AND(AG44="Yes",Budget2&lt;ShortlistFinal),AP44-AQ44,-1)</f>
        <v>-1</v>
      </c>
      <c r="AS44" s="27" t="n">
        <f aca="false">IF(AG44&lt;&gt;"Yes",0,IF(Budget2&gt;=ShortlistFinal,AK44,AQ44+IF(COUNTIFS($AR$5:$AR$119,"&gt;"&amp;AR44)+COUNTIFS($AR$5:$AR$119,AR44,$AF$5:$AF$119,"&lt;"&amp;AF44)&lt;Budget2-SUM($AQ$5:$AQ$119),1,0)))</f>
        <v>0</v>
      </c>
      <c r="AT44" s="26" t="n">
        <f aca="false">AK44*Share2025</f>
        <v>0</v>
      </c>
      <c r="AU44" s="26" t="n">
        <f aca="false">AK44*Share2026</f>
        <v>0</v>
      </c>
      <c r="AV44" s="26" t="n">
        <f aca="false">AK44*Share2027</f>
        <v>0</v>
      </c>
      <c r="AW44" s="31" t="n">
        <f aca="false">INT(AT44)</f>
        <v>0</v>
      </c>
      <c r="AX44" s="31" t="n">
        <f aca="false">INT(AU44)</f>
        <v>0</v>
      </c>
      <c r="AY44" s="31" t="n">
        <f aca="false">INT(AV44)</f>
        <v>0</v>
      </c>
      <c r="AZ44" s="26" t="n">
        <f aca="false">AT44-AW44</f>
        <v>0</v>
      </c>
      <c r="BA44" s="26" t="n">
        <f aca="false">AU44-AX44</f>
        <v>0</v>
      </c>
      <c r="BB44" s="26" t="n">
        <f aca="false">AV44-AY44</f>
        <v>0</v>
      </c>
      <c r="BC44" s="31" t="n">
        <f aca="false">AK44-AW44-AX44-AY44</f>
        <v>0</v>
      </c>
      <c r="BD44" s="27" t="n">
        <f aca="false">AW44+IF((BA44&gt;AZ44)+(BB44&gt;AZ44)&lt;BC44,1,0)</f>
        <v>0</v>
      </c>
      <c r="BE44" s="27" t="n">
        <f aca="false">AX44+IF((AZ44&gt;BA44)+(BB44&gt;BA44)+(AZ44=BA44)&lt;BC44,1,0)</f>
        <v>0</v>
      </c>
      <c r="BF44" s="27" t="n">
        <f aca="false">AY44+IF((AZ44&gt;BB44)+(BA44&gt;BB44)+(AZ44=BB44)+(BA44=BB44)&lt;BC44,1,0)</f>
        <v>0</v>
      </c>
    </row>
    <row r="45" customFormat="false" ht="15" hidden="false" customHeight="false" outlineLevel="0" collapsed="false">
      <c r="A45" s="22" t="str">
        <f aca="false">'District Data'!A45</f>
        <v>Kashmore</v>
      </c>
      <c r="B45" s="22" t="str">
        <f aca="false">'District Data'!C45</f>
        <v>Multan Region</v>
      </c>
      <c r="C45" s="22" t="str">
        <f aca="false">'District Data'!D45</f>
        <v>Rest</v>
      </c>
      <c r="D45" s="23" t="n">
        <f aca="false">ROUND('District Data'!E45*'District Data'!F45,0)</f>
        <v>304841</v>
      </c>
      <c r="E45" s="23" t="n">
        <f aca="false">'District Data'!I45</f>
        <v>23</v>
      </c>
      <c r="F45" s="23" t="n">
        <f aca="false">'District Data'!L45</f>
        <v>14060.3</v>
      </c>
      <c r="G45" s="24" t="n">
        <f aca="false">IFERROR(F45/(E45*Weeks),0)</f>
        <v>11.7561036789298</v>
      </c>
      <c r="H45" s="25" t="n">
        <f aca="false">IFERROR('District Data'!N45/('District Data'!M45*Weeks),0)</f>
        <v>7.61730769230769</v>
      </c>
      <c r="I45" s="24" t="n">
        <f aca="false">IFERROR(SUMIFS('District Data'!$N$5:$N$119,'District Data'!$C$5:$C$119,B45)/(SUMIFS('District Data'!$M$5:$M$119,'District Data'!$C$5:$C$119,B45)*Weeks),0)</f>
        <v>8.16663285109386</v>
      </c>
      <c r="J45" s="24" t="n">
        <f aca="false">IF(TPBasis="NI TP",IF(H45&gt;0,H45,I45),G45)</f>
        <v>7.61730769230769</v>
      </c>
      <c r="K45" s="26" t="n">
        <f aca="false">IFERROR(F45/D45,0)</f>
        <v>0.0461233889142209</v>
      </c>
      <c r="L45" s="27" t="n">
        <f aca="false">IFERROR(D45/E45,0)</f>
        <v>13253.9565217391</v>
      </c>
      <c r="M45" s="28" t="n">
        <f aca="false">IFERROR('District Data'!L45/'District Data'!K45-1,0)</f>
        <v>-0.10870295592421</v>
      </c>
      <c r="N45" s="28" t="n">
        <f aca="false">IFERROR(('District Data'!L45/'District Data'!J45)^(1/2)-1,0)</f>
        <v>-0.0182903884703024</v>
      </c>
      <c r="O45" s="28" t="n">
        <f aca="false">IFERROR('District Data'!I45/'District Data'!H45-1,0)</f>
        <v>-0.0416666666666666</v>
      </c>
      <c r="P45" s="7" t="str">
        <f aca="false">IF(K45&gt;=PCC_L1,"Layer 01",IF(K45&gt;=PCC_L2,"Layer 02",IF(K45&gt;=PCC_L3,"Layer 03",IF(K45&gt;=PCC_L4,"Layer 04","Layer 05"))))</f>
        <v>Layer 05</v>
      </c>
      <c r="Q45" s="7" t="str">
        <f aca="false">IF(L45&gt;=PPO_L1,"Layer 01",IF(L45&gt;=PPO_L2,"Layer 02",IF(L45&gt;=PPO_L3,"Layer 03",IF(L45&gt;=PPO_L4,"Layer 04","Layer 05"))))</f>
        <v>Layer 03</v>
      </c>
      <c r="R45" s="29" t="n">
        <f aca="false">D45/IdealPPO-E45</f>
        <v>383.454666666667</v>
      </c>
      <c r="S45" s="29" t="n">
        <f aca="false">IdealTP*Weeks-(Weeks*J45+FirstFill)</f>
        <v>303.9</v>
      </c>
      <c r="T45" s="29" t="n">
        <f aca="false">IF(S45&gt;0,(F45-IdealTP*Weeks*E45)/S45,1000000000000)</f>
        <v>-12.7663705166173</v>
      </c>
      <c r="U45" s="27" t="n">
        <f aca="false">IF(E45&lt;=0,0,IF(G45&lt;=IdealTP,0,IF(L45&lt;=IdealPPO,0,INT(MIN(T45,R45)+0.000000001))))</f>
        <v>0</v>
      </c>
      <c r="V45" s="7" t="str">
        <f aca="false">IF(E45&lt;=0,"No current outlets",IF(G45&lt;=IdealTP,"TP already at or below ideal",IF(L45&lt;=IdealPPO,"PPO already at or below ideal",IF(T45&lt;=R45,"Stopped by TP reaching ideal","Stopped by PPO reaching ideal"))))</f>
        <v>TP already at or below ideal</v>
      </c>
      <c r="W45" s="30" t="n">
        <f aca="false">F45+U45*(Weeks*J45+FirstFill)</f>
        <v>14060.3</v>
      </c>
      <c r="X45" s="30" t="n">
        <f aca="false">E45+U45</f>
        <v>23</v>
      </c>
      <c r="Y45" s="24" t="n">
        <f aca="false">IFERROR(W45/(X45*Weeks),0)</f>
        <v>11.7561036789298</v>
      </c>
      <c r="Z45" s="30" t="n">
        <f aca="false">IFERROR(D45/X45,0)</f>
        <v>13253.9565217391</v>
      </c>
      <c r="AA45" s="7" t="str">
        <f aca="false">IF(AND(K45&gt;=NationalPCC,L45&gt;IdealPPO),"Q1: High PCC, High PPO",IF(K45&gt;=NationalPCC,"Q2: High PCC, Low PPO",IF(L45&gt;IdealPPO,"Q3: Low PCC, High PPO","Q4: Low PCC, Low PPO")))</f>
        <v>Q3: Low PCC, High PPO</v>
      </c>
      <c r="AB45" s="7" t="str">
        <f aca="false">IF(K45&gt;=NationalPCC,IF(L45&gt;IdealPPO,"Phase 1","Phase 2"),"Phase 3")</f>
        <v>Phase 3</v>
      </c>
      <c r="AC45" s="7" t="str">
        <f aca="false">IF(AND(G45&gt;IdealTP,L45&gt;IdealPPO),"High TP, High PPO",IF(G45&gt;IdealTP,"High TP, Low PPO",IF(L45&gt;IdealPPO,"Low TP, High PPO","Low TP, Low PPO")))</f>
        <v>Low TP, High PPO</v>
      </c>
      <c r="AD45" s="31" t="n">
        <f aca="false">INDEX(WaveNumbers,MATCH(C45,WaveNames,0))</f>
        <v>4</v>
      </c>
      <c r="AE45" s="32" t="str">
        <f aca="false">IF(U45&gt;0,AD45*10000000+VALUE(RIGHT(AB45,1))*1000000+(1000000-U45)+ROW()/1000000,"")</f>
        <v/>
      </c>
      <c r="AF45" s="31" t="str">
        <f aca="false">IF(U45&gt;0,COUNTIFS($AE$5:$AE$119,"&lt;"&amp;AE45)+1,"")</f>
        <v/>
      </c>
      <c r="AG45" s="7" t="str">
        <f aca="false">IF(AF45="","No",IF(AF45&lt;=TopN,"Yes","No"))</f>
        <v>No</v>
      </c>
      <c r="AH45" s="30" t="n">
        <f aca="false">INT('District Data'!O45*ConvRate)</f>
        <v>34</v>
      </c>
      <c r="AI45" s="27" t="n">
        <f aca="false">MIN(U45,AH45)</f>
        <v>0</v>
      </c>
      <c r="AJ45" s="7" t="str">
        <f aca="false">IF(U45=0,"No expansion",IF(AH45&lt;U45,"Supply constrained (not enough shops)","Demand constrained (enough shops)"))</f>
        <v>No expansion</v>
      </c>
      <c r="AK45" s="30" t="n">
        <f aca="false">IF(AG45="Yes",AI45,0)</f>
        <v>0</v>
      </c>
      <c r="AL45" s="26" t="n">
        <f aca="false">IF(AG45="Yes",IF(Budget1&gt;=ShortlistFinal,AK45,AK45/ShortlistFinal*Budget1),0)</f>
        <v>0</v>
      </c>
      <c r="AM45" s="30" t="n">
        <f aca="false">INT(AL45)</f>
        <v>0</v>
      </c>
      <c r="AN45" s="26" t="n">
        <f aca="false">IF(AND(AG45="Yes",Budget1&lt;ShortlistFinal),AL45-AM45,-1)</f>
        <v>-1</v>
      </c>
      <c r="AO45" s="27" t="n">
        <f aca="false">IF(AG45&lt;&gt;"Yes",0,IF(Budget1&gt;=ShortlistFinal,AK45,AM45+IF(COUNTIFS($AN$5:$AN$119,"&gt;"&amp;AN45)+COUNTIFS($AN$5:$AN$119,AN45,$AF$5:$AF$119,"&lt;"&amp;AF45)&lt;Budget1-SUM($AM$5:$AM$119),1,0)))</f>
        <v>0</v>
      </c>
      <c r="AP45" s="26" t="n">
        <f aca="false">IF(AG45="Yes",IF(Budget2&gt;=ShortlistFinal,AK45,AK45/ShortlistFinal*Budget2),0)</f>
        <v>0</v>
      </c>
      <c r="AQ45" s="30" t="n">
        <f aca="false">INT(AP45)</f>
        <v>0</v>
      </c>
      <c r="AR45" s="26" t="n">
        <f aca="false">IF(AND(AG45="Yes",Budget2&lt;ShortlistFinal),AP45-AQ45,-1)</f>
        <v>-1</v>
      </c>
      <c r="AS45" s="27" t="n">
        <f aca="false">IF(AG45&lt;&gt;"Yes",0,IF(Budget2&gt;=ShortlistFinal,AK45,AQ45+IF(COUNTIFS($AR$5:$AR$119,"&gt;"&amp;AR45)+COUNTIFS($AR$5:$AR$119,AR45,$AF$5:$AF$119,"&lt;"&amp;AF45)&lt;Budget2-SUM($AQ$5:$AQ$119),1,0)))</f>
        <v>0</v>
      </c>
      <c r="AT45" s="26" t="n">
        <f aca="false">AK45*Share2025</f>
        <v>0</v>
      </c>
      <c r="AU45" s="26" t="n">
        <f aca="false">AK45*Share2026</f>
        <v>0</v>
      </c>
      <c r="AV45" s="26" t="n">
        <f aca="false">AK45*Share2027</f>
        <v>0</v>
      </c>
      <c r="AW45" s="31" t="n">
        <f aca="false">INT(AT45)</f>
        <v>0</v>
      </c>
      <c r="AX45" s="31" t="n">
        <f aca="false">INT(AU45)</f>
        <v>0</v>
      </c>
      <c r="AY45" s="31" t="n">
        <f aca="false">INT(AV45)</f>
        <v>0</v>
      </c>
      <c r="AZ45" s="26" t="n">
        <f aca="false">AT45-AW45</f>
        <v>0</v>
      </c>
      <c r="BA45" s="26" t="n">
        <f aca="false">AU45-AX45</f>
        <v>0</v>
      </c>
      <c r="BB45" s="26" t="n">
        <f aca="false">AV45-AY45</f>
        <v>0</v>
      </c>
      <c r="BC45" s="31" t="n">
        <f aca="false">AK45-AW45-AX45-AY45</f>
        <v>0</v>
      </c>
      <c r="BD45" s="27" t="n">
        <f aca="false">AW45+IF((BA45&gt;AZ45)+(BB45&gt;AZ45)&lt;BC45,1,0)</f>
        <v>0</v>
      </c>
      <c r="BE45" s="27" t="n">
        <f aca="false">AX45+IF((AZ45&gt;BA45)+(BB45&gt;BA45)+(AZ45=BA45)&lt;BC45,1,0)</f>
        <v>0</v>
      </c>
      <c r="BF45" s="27" t="n">
        <f aca="false">AY45+IF((AZ45&gt;BB45)+(BA45&gt;BB45)+(AZ45=BB45)+(BA45=BB45)&lt;BC45,1,0)</f>
        <v>0</v>
      </c>
    </row>
    <row r="46" customFormat="false" ht="15" hidden="false" customHeight="false" outlineLevel="0" collapsed="false">
      <c r="A46" s="22" t="str">
        <f aca="false">'District Data'!A46</f>
        <v>Kasur</v>
      </c>
      <c r="B46" s="22" t="str">
        <f aca="false">'District Data'!C46</f>
        <v>Lahore Region</v>
      </c>
      <c r="C46" s="22" t="str">
        <f aca="false">'District Data'!D46</f>
        <v>Stronghold</v>
      </c>
      <c r="D46" s="23" t="n">
        <f aca="false">ROUND('District Data'!E46*'District Data'!F46,0)</f>
        <v>1167553</v>
      </c>
      <c r="E46" s="23" t="n">
        <f aca="false">'District Data'!I46</f>
        <v>467</v>
      </c>
      <c r="F46" s="23" t="n">
        <f aca="false">'District Data'!L46</f>
        <v>380399.5</v>
      </c>
      <c r="G46" s="24" t="n">
        <f aca="false">IFERROR(F46/(E46*Weeks),0)</f>
        <v>15.6646145610278</v>
      </c>
      <c r="H46" s="25" t="n">
        <f aca="false">IFERROR('District Data'!N46/('District Data'!M46*Weeks),0)</f>
        <v>11.8742914979757</v>
      </c>
      <c r="I46" s="24" t="n">
        <f aca="false">IFERROR(SUMIFS('District Data'!$N$5:$N$119,'District Data'!$C$5:$C$119,B46)/(SUMIFS('District Data'!$M$5:$M$119,'District Data'!$C$5:$C$119,B46)*Weeks),0)</f>
        <v>11.5536217630433</v>
      </c>
      <c r="J46" s="24" t="n">
        <f aca="false">IF(TPBasis="NI TP",IF(H46&gt;0,H46,I46),G46)</f>
        <v>11.8742914979757</v>
      </c>
      <c r="K46" s="26" t="n">
        <f aca="false">IFERROR(F46/D46,0)</f>
        <v>0.32580919238784</v>
      </c>
      <c r="L46" s="27" t="n">
        <f aca="false">IFERROR(D46/E46,0)</f>
        <v>2500.11349036403</v>
      </c>
      <c r="M46" s="28" t="n">
        <f aca="false">IFERROR('District Data'!L46/'District Data'!K46-1,0)</f>
        <v>0.0131205138264232</v>
      </c>
      <c r="N46" s="28" t="n">
        <f aca="false">IFERROR(('District Data'!L46/'District Data'!J46)^(1/2)-1,0)</f>
        <v>0.0161833267013112</v>
      </c>
      <c r="O46" s="28" t="n">
        <f aca="false">IFERROR('District Data'!I46/'District Data'!H46-1,0)</f>
        <v>0.0785219399538106</v>
      </c>
      <c r="P46" s="7" t="str">
        <f aca="false">IF(K46&gt;=PCC_L1,"Layer 01",IF(K46&gt;=PCC_L2,"Layer 02",IF(K46&gt;=PCC_L3,"Layer 03",IF(K46&gt;=PCC_L4,"Layer 04","Layer 05"))))</f>
        <v>Layer 04</v>
      </c>
      <c r="Q46" s="7" t="str">
        <f aca="false">IF(L46&gt;=PPO_L1,"Layer 01",IF(L46&gt;=PPO_L2,"Layer 02",IF(L46&gt;=PPO_L3,"Layer 03",IF(L46&gt;=PPO_L4,"Layer 04","Layer 05"))))</f>
        <v>Layer 04</v>
      </c>
      <c r="R46" s="29" t="n">
        <f aca="false">D46/IdealPPO-E46</f>
        <v>1089.73733333333</v>
      </c>
      <c r="S46" s="29" t="n">
        <f aca="false">IdealTP*Weeks-(Weeks*J46+FirstFill)</f>
        <v>82.5368421052632</v>
      </c>
      <c r="T46" s="29" t="n">
        <f aca="false">IF(S46&gt;0,(F46-IdealTP*Weeks*E46)/S46,1000000000000)</f>
        <v>195.542979211835</v>
      </c>
      <c r="U46" s="27" t="n">
        <f aca="false">IF(E46&lt;=0,0,IF(G46&lt;=IdealTP,0,IF(L46&lt;=IdealPPO,0,INT(MIN(T46,R46)+0.000000001))))</f>
        <v>195</v>
      </c>
      <c r="V46" s="7" t="str">
        <f aca="false">IF(E46&lt;=0,"No current outlets",IF(G46&lt;=IdealTP,"TP already at or below ideal",IF(L46&lt;=IdealPPO,"PPO already at or below ideal",IF(T46&lt;=R46,"Stopped by TP reaching ideal","Stopped by PPO reaching ideal"))))</f>
        <v>Stopped by TP reaching ideal</v>
      </c>
      <c r="W46" s="30" t="n">
        <f aca="false">F46+U46*(Weeks*J46+FirstFill)</f>
        <v>516404.815789474</v>
      </c>
      <c r="X46" s="30" t="n">
        <f aca="false">E46+U46</f>
        <v>662</v>
      </c>
      <c r="Y46" s="24" t="n">
        <f aca="false">IFERROR(W46/(X46*Weeks),0)</f>
        <v>15.0013018762919</v>
      </c>
      <c r="Z46" s="30" t="n">
        <f aca="false">IFERROR(D46/X46,0)</f>
        <v>1763.6752265861</v>
      </c>
      <c r="AA46" s="7" t="str">
        <f aca="false">IF(AND(K46&gt;=NationalPCC,L46&gt;IdealPPO),"Q1: High PCC, High PPO",IF(K46&gt;=NationalPCC,"Q2: High PCC, Low PPO",IF(L46&gt;IdealPPO,"Q3: Low PCC, High PPO","Q4: Low PCC, Low PPO")))</f>
        <v>Q3: Low PCC, High PPO</v>
      </c>
      <c r="AB46" s="7" t="str">
        <f aca="false">IF(K46&gt;=NationalPCC,IF(L46&gt;IdealPPO,"Phase 1","Phase 2"),"Phase 3")</f>
        <v>Phase 3</v>
      </c>
      <c r="AC46" s="7" t="str">
        <f aca="false">IF(AND(G46&gt;IdealTP,L46&gt;IdealPPO),"High TP, High PPO",IF(G46&gt;IdealTP,"High TP, Low PPO",IF(L46&gt;IdealPPO,"Low TP, High PPO","Low TP, Low PPO")))</f>
        <v>High TP, High PPO</v>
      </c>
      <c r="AD46" s="31" t="n">
        <f aca="false">INDEX(WaveNumbers,MATCH(C46,WaveNames,0))</f>
        <v>1</v>
      </c>
      <c r="AE46" s="32" t="n">
        <f aca="false">IF(U46&gt;0,AD46*10000000+VALUE(RIGHT(AB46,1))*1000000+(1000000-U46)+ROW()/1000000,"")</f>
        <v>13999805.000046</v>
      </c>
      <c r="AF46" s="31" t="n">
        <f aca="false">IF(U46&gt;0,COUNTIFS($AE$5:$AE$119,"&lt;"&amp;AE46)+1,"")</f>
        <v>12</v>
      </c>
      <c r="AG46" s="7" t="str">
        <f aca="false">IF(AF46="","No",IF(AF46&lt;=TopN,"Yes","No"))</f>
        <v>Yes</v>
      </c>
      <c r="AH46" s="30" t="n">
        <f aca="false">INT('District Data'!O46*ConvRate)</f>
        <v>78</v>
      </c>
      <c r="AI46" s="27" t="n">
        <f aca="false">MIN(U46,AH46)</f>
        <v>78</v>
      </c>
      <c r="AJ46" s="7" t="str">
        <f aca="false">IF(U46=0,"No expansion",IF(AH46&lt;U46,"Supply constrained (not enough shops)","Demand constrained (enough shops)"))</f>
        <v>Supply constrained (not enough shops)</v>
      </c>
      <c r="AK46" s="30" t="n">
        <f aca="false">IF(AG46="Yes",AI46,0)</f>
        <v>78</v>
      </c>
      <c r="AL46" s="26" t="n">
        <f aca="false">IF(AG46="Yes",IF(Budget1&gt;=ShortlistFinal,AK46,AK46/ShortlistFinal*Budget1),0)</f>
        <v>46.119733924612</v>
      </c>
      <c r="AM46" s="30" t="n">
        <f aca="false">INT(AL46)</f>
        <v>46</v>
      </c>
      <c r="AN46" s="26" t="n">
        <f aca="false">IF(AND(AG46="Yes",Budget1&lt;ShortlistFinal),AL46-AM46,-1)</f>
        <v>0.119733924611971</v>
      </c>
      <c r="AO46" s="27" t="n">
        <f aca="false">IF(AG46&lt;&gt;"Yes",0,IF(Budget1&gt;=ShortlistFinal,AK46,AM46+IF(COUNTIFS($AN$5:$AN$119,"&gt;"&amp;AN46)+COUNTIFS($AN$5:$AN$119,AN46,$AF$5:$AF$119,"&lt;"&amp;AF46)&lt;Budget1-SUM($AM$5:$AM$119),1,0)))</f>
        <v>46</v>
      </c>
      <c r="AP46" s="26" t="n">
        <f aca="false">IF(AG46="Yes",IF(Budget2&gt;=ShortlistFinal,AK46,AK46/ShortlistFinal*Budget2),0)</f>
        <v>69.179600886918</v>
      </c>
      <c r="AQ46" s="30" t="n">
        <f aca="false">INT(AP46)</f>
        <v>69</v>
      </c>
      <c r="AR46" s="26" t="n">
        <f aca="false">IF(AND(AG46="Yes",Budget2&lt;ShortlistFinal),AP46-AQ46,-1)</f>
        <v>0.179600886917953</v>
      </c>
      <c r="AS46" s="27" t="n">
        <f aca="false">IF(AG46&lt;&gt;"Yes",0,IF(Budget2&gt;=ShortlistFinal,AK46,AQ46+IF(COUNTIFS($AR$5:$AR$119,"&gt;"&amp;AR46)+COUNTIFS($AR$5:$AR$119,AR46,$AF$5:$AF$119,"&lt;"&amp;AF46)&lt;Budget2-SUM($AQ$5:$AQ$119),1,0)))</f>
        <v>69</v>
      </c>
      <c r="AT46" s="26" t="n">
        <f aca="false">AK46*Share2025</f>
        <v>27.5294117647059</v>
      </c>
      <c r="AU46" s="26" t="n">
        <f aca="false">AK46*Share2026</f>
        <v>27.5294117647059</v>
      </c>
      <c r="AV46" s="26" t="n">
        <f aca="false">AK46*Share2027</f>
        <v>22.9411764705882</v>
      </c>
      <c r="AW46" s="31" t="n">
        <f aca="false">INT(AT46)</f>
        <v>27</v>
      </c>
      <c r="AX46" s="31" t="n">
        <f aca="false">INT(AU46)</f>
        <v>27</v>
      </c>
      <c r="AY46" s="31" t="n">
        <f aca="false">INT(AV46)</f>
        <v>22</v>
      </c>
      <c r="AZ46" s="26" t="n">
        <f aca="false">AT46-AW46</f>
        <v>0.529411764705888</v>
      </c>
      <c r="BA46" s="26" t="n">
        <f aca="false">AU46-AX46</f>
        <v>0.529411764705888</v>
      </c>
      <c r="BB46" s="26" t="n">
        <f aca="false">AV46-AY46</f>
        <v>0.941176470588232</v>
      </c>
      <c r="BC46" s="31" t="n">
        <f aca="false">AK46-AW46-AX46-AY46</f>
        <v>2</v>
      </c>
      <c r="BD46" s="27" t="n">
        <f aca="false">AW46+IF((BA46&gt;AZ46)+(BB46&gt;AZ46)&lt;BC46,1,0)</f>
        <v>28</v>
      </c>
      <c r="BE46" s="27" t="n">
        <f aca="false">AX46+IF((AZ46&gt;BA46)+(BB46&gt;BA46)+(AZ46=BA46)&lt;BC46,1,0)</f>
        <v>27</v>
      </c>
      <c r="BF46" s="27" t="n">
        <f aca="false">AY46+IF((AZ46&gt;BB46)+(BA46&gt;BB46)+(AZ46=BB46)+(BA46=BB46)&lt;BC46,1,0)</f>
        <v>23</v>
      </c>
    </row>
    <row r="47" customFormat="false" ht="15" hidden="false" customHeight="false" outlineLevel="0" collapsed="false">
      <c r="A47" s="22" t="str">
        <f aca="false">'District Data'!A47</f>
        <v>Kech</v>
      </c>
      <c r="B47" s="22" t="str">
        <f aca="false">'District Data'!C47</f>
        <v>Karachi Region</v>
      </c>
      <c r="C47" s="22" t="str">
        <f aca="false">'District Data'!D47</f>
        <v>Rest</v>
      </c>
      <c r="D47" s="23" t="n">
        <f aca="false">ROUND('District Data'!E47*'District Data'!F47,0)</f>
        <v>404012</v>
      </c>
      <c r="E47" s="23" t="n">
        <f aca="false">'District Data'!I47</f>
        <v>38</v>
      </c>
      <c r="F47" s="23" t="n">
        <f aca="false">'District Data'!L47</f>
        <v>14336</v>
      </c>
      <c r="G47" s="24" t="n">
        <f aca="false">IFERROR(F47/(E47*Weeks),0)</f>
        <v>7.25506072874494</v>
      </c>
      <c r="H47" s="25" t="n">
        <f aca="false">IFERROR('District Data'!N47/('District Data'!M47*Weeks),0)</f>
        <v>6.22307692307692</v>
      </c>
      <c r="I47" s="24" t="n">
        <f aca="false">IFERROR(SUMIFS('District Data'!$N$5:$N$119,'District Data'!$C$5:$C$119,B47)/(SUMIFS('District Data'!$M$5:$M$119,'District Data'!$C$5:$C$119,B47)*Weeks),0)</f>
        <v>12.952446872194</v>
      </c>
      <c r="J47" s="24" t="n">
        <f aca="false">IF(TPBasis="NI TP",IF(H47&gt;0,H47,I47),G47)</f>
        <v>6.22307692307692</v>
      </c>
      <c r="K47" s="26" t="n">
        <f aca="false">IFERROR(F47/D47,0)</f>
        <v>0.0354840945318456</v>
      </c>
      <c r="L47" s="27" t="n">
        <f aca="false">IFERROR(D47/E47,0)</f>
        <v>10631.8947368421</v>
      </c>
      <c r="M47" s="28" t="n">
        <f aca="false">IFERROR('District Data'!L47/'District Data'!K47-1,0)</f>
        <v>-0.0524033631219925</v>
      </c>
      <c r="N47" s="28" t="n">
        <f aca="false">IFERROR(('District Data'!L47/'District Data'!J47)^(1/2)-1,0)</f>
        <v>-0.0246149318803135</v>
      </c>
      <c r="O47" s="28" t="n">
        <f aca="false">IFERROR('District Data'!I47/'District Data'!H47-1,0)</f>
        <v>-0.0256410256410257</v>
      </c>
      <c r="P47" s="7" t="str">
        <f aca="false">IF(K47&gt;=PCC_L1,"Layer 01",IF(K47&gt;=PCC_L2,"Layer 02",IF(K47&gt;=PCC_L3,"Layer 03",IF(K47&gt;=PCC_L4,"Layer 04","Layer 05"))))</f>
        <v>Layer 05</v>
      </c>
      <c r="Q47" s="7" t="str">
        <f aca="false">IF(L47&gt;=PPO_L1,"Layer 01",IF(L47&gt;=PPO_L2,"Layer 02",IF(L47&gt;=PPO_L3,"Layer 03",IF(L47&gt;=PPO_L4,"Layer 04","Layer 05"))))</f>
        <v>Layer 03</v>
      </c>
      <c r="R47" s="29" t="n">
        <f aca="false">D47/IdealPPO-E47</f>
        <v>500.682666666667</v>
      </c>
      <c r="S47" s="29" t="n">
        <f aca="false">IdealTP*Weeks-(Weeks*J47+FirstFill)</f>
        <v>376.4</v>
      </c>
      <c r="T47" s="29" t="n">
        <f aca="false">IF(S47&gt;0,(F47-IdealTP*Weeks*E47)/S47,1000000000000)</f>
        <v>-40.6588735387885</v>
      </c>
      <c r="U47" s="27" t="n">
        <f aca="false">IF(E47&lt;=0,0,IF(G47&lt;=IdealTP,0,IF(L47&lt;=IdealPPO,0,INT(MIN(T47,R47)+0.000000001))))</f>
        <v>0</v>
      </c>
      <c r="V47" s="7" t="str">
        <f aca="false">IF(E47&lt;=0,"No current outlets",IF(G47&lt;=IdealTP,"TP already at or below ideal",IF(L47&lt;=IdealPPO,"PPO already at or below ideal",IF(T47&lt;=R47,"Stopped by TP reaching ideal","Stopped by PPO reaching ideal"))))</f>
        <v>TP already at or below ideal</v>
      </c>
      <c r="W47" s="30" t="n">
        <f aca="false">F47+U47*(Weeks*J47+FirstFill)</f>
        <v>14336</v>
      </c>
      <c r="X47" s="30" t="n">
        <f aca="false">E47+U47</f>
        <v>38</v>
      </c>
      <c r="Y47" s="24" t="n">
        <f aca="false">IFERROR(W47/(X47*Weeks),0)</f>
        <v>7.25506072874494</v>
      </c>
      <c r="Z47" s="30" t="n">
        <f aca="false">IFERROR(D47/X47,0)</f>
        <v>10631.8947368421</v>
      </c>
      <c r="AA47" s="7" t="str">
        <f aca="false">IF(AND(K47&gt;=NationalPCC,L47&gt;IdealPPO),"Q1: High PCC, High PPO",IF(K47&gt;=NationalPCC,"Q2: High PCC, Low PPO",IF(L47&gt;IdealPPO,"Q3: Low PCC, High PPO","Q4: Low PCC, Low PPO")))</f>
        <v>Q3: Low PCC, High PPO</v>
      </c>
      <c r="AB47" s="7" t="str">
        <f aca="false">IF(K47&gt;=NationalPCC,IF(L47&gt;IdealPPO,"Phase 1","Phase 2"),"Phase 3")</f>
        <v>Phase 3</v>
      </c>
      <c r="AC47" s="7" t="str">
        <f aca="false">IF(AND(G47&gt;IdealTP,L47&gt;IdealPPO),"High TP, High PPO",IF(G47&gt;IdealTP,"High TP, Low PPO",IF(L47&gt;IdealPPO,"Low TP, High PPO","Low TP, Low PPO")))</f>
        <v>Low TP, High PPO</v>
      </c>
      <c r="AD47" s="31" t="n">
        <f aca="false">INDEX(WaveNumbers,MATCH(C47,WaveNames,0))</f>
        <v>4</v>
      </c>
      <c r="AE47" s="32" t="str">
        <f aca="false">IF(U47&gt;0,AD47*10000000+VALUE(RIGHT(AB47,1))*1000000+(1000000-U47)+ROW()/1000000,"")</f>
        <v/>
      </c>
      <c r="AF47" s="31" t="str">
        <f aca="false">IF(U47&gt;0,COUNTIFS($AE$5:$AE$119,"&lt;"&amp;AE47)+1,"")</f>
        <v/>
      </c>
      <c r="AG47" s="7" t="str">
        <f aca="false">IF(AF47="","No",IF(AF47&lt;=TopN,"Yes","No"))</f>
        <v>No</v>
      </c>
      <c r="AH47" s="30" t="n">
        <f aca="false">INT('District Data'!O47*ConvRate)</f>
        <v>27</v>
      </c>
      <c r="AI47" s="27" t="n">
        <f aca="false">MIN(U47,AH47)</f>
        <v>0</v>
      </c>
      <c r="AJ47" s="7" t="str">
        <f aca="false">IF(U47=0,"No expansion",IF(AH47&lt;U47,"Supply constrained (not enough shops)","Demand constrained (enough shops)"))</f>
        <v>No expansion</v>
      </c>
      <c r="AK47" s="30" t="n">
        <f aca="false">IF(AG47="Yes",AI47,0)</f>
        <v>0</v>
      </c>
      <c r="AL47" s="26" t="n">
        <f aca="false">IF(AG47="Yes",IF(Budget1&gt;=ShortlistFinal,AK47,AK47/ShortlistFinal*Budget1),0)</f>
        <v>0</v>
      </c>
      <c r="AM47" s="30" t="n">
        <f aca="false">INT(AL47)</f>
        <v>0</v>
      </c>
      <c r="AN47" s="26" t="n">
        <f aca="false">IF(AND(AG47="Yes",Budget1&lt;ShortlistFinal),AL47-AM47,-1)</f>
        <v>-1</v>
      </c>
      <c r="AO47" s="27" t="n">
        <f aca="false">IF(AG47&lt;&gt;"Yes",0,IF(Budget1&gt;=ShortlistFinal,AK47,AM47+IF(COUNTIFS($AN$5:$AN$119,"&gt;"&amp;AN47)+COUNTIFS($AN$5:$AN$119,AN47,$AF$5:$AF$119,"&lt;"&amp;AF47)&lt;Budget1-SUM($AM$5:$AM$119),1,0)))</f>
        <v>0</v>
      </c>
      <c r="AP47" s="26" t="n">
        <f aca="false">IF(AG47="Yes",IF(Budget2&gt;=ShortlistFinal,AK47,AK47/ShortlistFinal*Budget2),0)</f>
        <v>0</v>
      </c>
      <c r="AQ47" s="30" t="n">
        <f aca="false">INT(AP47)</f>
        <v>0</v>
      </c>
      <c r="AR47" s="26" t="n">
        <f aca="false">IF(AND(AG47="Yes",Budget2&lt;ShortlistFinal),AP47-AQ47,-1)</f>
        <v>-1</v>
      </c>
      <c r="AS47" s="27" t="n">
        <f aca="false">IF(AG47&lt;&gt;"Yes",0,IF(Budget2&gt;=ShortlistFinal,AK47,AQ47+IF(COUNTIFS($AR$5:$AR$119,"&gt;"&amp;AR47)+COUNTIFS($AR$5:$AR$119,AR47,$AF$5:$AF$119,"&lt;"&amp;AF47)&lt;Budget2-SUM($AQ$5:$AQ$119),1,0)))</f>
        <v>0</v>
      </c>
      <c r="AT47" s="26" t="n">
        <f aca="false">AK47*Share2025</f>
        <v>0</v>
      </c>
      <c r="AU47" s="26" t="n">
        <f aca="false">AK47*Share2026</f>
        <v>0</v>
      </c>
      <c r="AV47" s="26" t="n">
        <f aca="false">AK47*Share2027</f>
        <v>0</v>
      </c>
      <c r="AW47" s="31" t="n">
        <f aca="false">INT(AT47)</f>
        <v>0</v>
      </c>
      <c r="AX47" s="31" t="n">
        <f aca="false">INT(AU47)</f>
        <v>0</v>
      </c>
      <c r="AY47" s="31" t="n">
        <f aca="false">INT(AV47)</f>
        <v>0</v>
      </c>
      <c r="AZ47" s="26" t="n">
        <f aca="false">AT47-AW47</f>
        <v>0</v>
      </c>
      <c r="BA47" s="26" t="n">
        <f aca="false">AU47-AX47</f>
        <v>0</v>
      </c>
      <c r="BB47" s="26" t="n">
        <f aca="false">AV47-AY47</f>
        <v>0</v>
      </c>
      <c r="BC47" s="31" t="n">
        <f aca="false">AK47-AW47-AX47-AY47</f>
        <v>0</v>
      </c>
      <c r="BD47" s="27" t="n">
        <f aca="false">AW47+IF((BA47&gt;AZ47)+(BB47&gt;AZ47)&lt;BC47,1,0)</f>
        <v>0</v>
      </c>
      <c r="BE47" s="27" t="n">
        <f aca="false">AX47+IF((AZ47&gt;BA47)+(BB47&gt;BA47)+(AZ47=BA47)&lt;BC47,1,0)</f>
        <v>0</v>
      </c>
      <c r="BF47" s="27" t="n">
        <f aca="false">AY47+IF((AZ47&gt;BB47)+(BA47&gt;BB47)+(AZ47=BB47)+(BA47=BB47)&lt;BC47,1,0)</f>
        <v>0</v>
      </c>
    </row>
    <row r="48" customFormat="false" ht="15" hidden="false" customHeight="false" outlineLevel="0" collapsed="false">
      <c r="A48" s="22" t="str">
        <f aca="false">'District Data'!A48</f>
        <v>Khairpur</v>
      </c>
      <c r="B48" s="22" t="str">
        <f aca="false">'District Data'!C48</f>
        <v>Karachi Region</v>
      </c>
      <c r="C48" s="22" t="str">
        <f aca="false">'District Data'!D48</f>
        <v>Population High</v>
      </c>
      <c r="D48" s="23" t="n">
        <f aca="false">ROUND('District Data'!E48*'District Data'!F48,0)</f>
        <v>1002427</v>
      </c>
      <c r="E48" s="23" t="n">
        <f aca="false">'District Data'!I48</f>
        <v>159</v>
      </c>
      <c r="F48" s="23" t="n">
        <f aca="false">'District Data'!L48</f>
        <v>101473.2</v>
      </c>
      <c r="G48" s="24" t="n">
        <f aca="false">IFERROR(F48/(E48*Weeks),0)</f>
        <v>12.2730043541364</v>
      </c>
      <c r="H48" s="25" t="n">
        <f aca="false">IFERROR('District Data'!N48/('District Data'!M48*Weeks),0)</f>
        <v>8.58232600732601</v>
      </c>
      <c r="I48" s="24" t="n">
        <f aca="false">IFERROR(SUMIFS('District Data'!$N$5:$N$119,'District Data'!$C$5:$C$119,B48)/(SUMIFS('District Data'!$M$5:$M$119,'District Data'!$C$5:$C$119,B48)*Weeks),0)</f>
        <v>12.952446872194</v>
      </c>
      <c r="J48" s="24" t="n">
        <f aca="false">IF(TPBasis="NI TP",IF(H48&gt;0,H48,I48),G48)</f>
        <v>8.58232600732601</v>
      </c>
      <c r="K48" s="26" t="n">
        <f aca="false">IFERROR(F48/D48,0)</f>
        <v>0.101227520807001</v>
      </c>
      <c r="L48" s="27" t="n">
        <f aca="false">IFERROR(D48/E48,0)</f>
        <v>6304.57232704403</v>
      </c>
      <c r="M48" s="28" t="n">
        <f aca="false">IFERROR('District Data'!L48/'District Data'!K48-1,0)</f>
        <v>0.0850671368796776</v>
      </c>
      <c r="N48" s="28" t="n">
        <f aca="false">IFERROR(('District Data'!L48/'District Data'!J48)^(1/2)-1,0)</f>
        <v>0.0732338919707762</v>
      </c>
      <c r="O48" s="28" t="n">
        <f aca="false">IFERROR('District Data'!I48/'District Data'!H48-1,0)</f>
        <v>0.0890410958904109</v>
      </c>
      <c r="P48" s="7" t="str">
        <f aca="false">IF(K48&gt;=PCC_L1,"Layer 01",IF(K48&gt;=PCC_L2,"Layer 02",IF(K48&gt;=PCC_L3,"Layer 03",IF(K48&gt;=PCC_L4,"Layer 04","Layer 05"))))</f>
        <v>Layer 05</v>
      </c>
      <c r="Q48" s="7" t="str">
        <f aca="false">IF(L48&gt;=PPO_L1,"Layer 01",IF(L48&gt;=PPO_L2,"Layer 02",IF(L48&gt;=PPO_L3,"Layer 03",IF(L48&gt;=PPO_L4,"Layer 04","Layer 05"))))</f>
        <v>Layer 03</v>
      </c>
      <c r="R48" s="29" t="n">
        <f aca="false">D48/IdealPPO-E48</f>
        <v>1177.56933333333</v>
      </c>
      <c r="S48" s="29" t="n">
        <f aca="false">IdealTP*Weeks-(Weeks*J48+FirstFill)</f>
        <v>253.719047619048</v>
      </c>
      <c r="T48" s="29" t="n">
        <f aca="false">IF(S48&gt;0,(F48-IdealTP*Weeks*E48)/S48,1000000000000)</f>
        <v>-88.8652240010511</v>
      </c>
      <c r="U48" s="27" t="n">
        <f aca="false">IF(E48&lt;=0,0,IF(G48&lt;=IdealTP,0,IF(L48&lt;=IdealPPO,0,INT(MIN(T48,R48)+0.000000001))))</f>
        <v>0</v>
      </c>
      <c r="V48" s="7" t="str">
        <f aca="false">IF(E48&lt;=0,"No current outlets",IF(G48&lt;=IdealTP,"TP already at or below ideal",IF(L48&lt;=IdealPPO,"PPO already at or below ideal",IF(T48&lt;=R48,"Stopped by TP reaching ideal","Stopped by PPO reaching ideal"))))</f>
        <v>TP already at or below ideal</v>
      </c>
      <c r="W48" s="30" t="n">
        <f aca="false">F48+U48*(Weeks*J48+FirstFill)</f>
        <v>101473.2</v>
      </c>
      <c r="X48" s="30" t="n">
        <f aca="false">E48+U48</f>
        <v>159</v>
      </c>
      <c r="Y48" s="24" t="n">
        <f aca="false">IFERROR(W48/(X48*Weeks),0)</f>
        <v>12.2730043541364</v>
      </c>
      <c r="Z48" s="30" t="n">
        <f aca="false">IFERROR(D48/X48,0)</f>
        <v>6304.57232704403</v>
      </c>
      <c r="AA48" s="7" t="str">
        <f aca="false">IF(AND(K48&gt;=NationalPCC,L48&gt;IdealPPO),"Q1: High PCC, High PPO",IF(K48&gt;=NationalPCC,"Q2: High PCC, Low PPO",IF(L48&gt;IdealPPO,"Q3: Low PCC, High PPO","Q4: Low PCC, Low PPO")))</f>
        <v>Q3: Low PCC, High PPO</v>
      </c>
      <c r="AB48" s="7" t="str">
        <f aca="false">IF(K48&gt;=NationalPCC,IF(L48&gt;IdealPPO,"Phase 1","Phase 2"),"Phase 3")</f>
        <v>Phase 3</v>
      </c>
      <c r="AC48" s="7" t="str">
        <f aca="false">IF(AND(G48&gt;IdealTP,L48&gt;IdealPPO),"High TP, High PPO",IF(G48&gt;IdealTP,"High TP, Low PPO",IF(L48&gt;IdealPPO,"Low TP, High PPO","Low TP, Low PPO")))</f>
        <v>Low TP, High PPO</v>
      </c>
      <c r="AD48" s="31" t="n">
        <f aca="false">INDEX(WaveNumbers,MATCH(C48,WaveNames,0))</f>
        <v>3</v>
      </c>
      <c r="AE48" s="32" t="str">
        <f aca="false">IF(U48&gt;0,AD48*10000000+VALUE(RIGHT(AB48,1))*1000000+(1000000-U48)+ROW()/1000000,"")</f>
        <v/>
      </c>
      <c r="AF48" s="31" t="str">
        <f aca="false">IF(U48&gt;0,COUNTIFS($AE$5:$AE$119,"&lt;"&amp;AE48)+1,"")</f>
        <v/>
      </c>
      <c r="AG48" s="7" t="str">
        <f aca="false">IF(AF48="","No",IF(AF48&lt;=TopN,"Yes","No"))</f>
        <v>No</v>
      </c>
      <c r="AH48" s="30" t="n">
        <f aca="false">INT('District Data'!O48*ConvRate)</f>
        <v>174</v>
      </c>
      <c r="AI48" s="27" t="n">
        <f aca="false">MIN(U48,AH48)</f>
        <v>0</v>
      </c>
      <c r="AJ48" s="7" t="str">
        <f aca="false">IF(U48=0,"No expansion",IF(AH48&lt;U48,"Supply constrained (not enough shops)","Demand constrained (enough shops)"))</f>
        <v>No expansion</v>
      </c>
      <c r="AK48" s="30" t="n">
        <f aca="false">IF(AG48="Yes",AI48,0)</f>
        <v>0</v>
      </c>
      <c r="AL48" s="26" t="n">
        <f aca="false">IF(AG48="Yes",IF(Budget1&gt;=ShortlistFinal,AK48,AK48/ShortlistFinal*Budget1),0)</f>
        <v>0</v>
      </c>
      <c r="AM48" s="30" t="n">
        <f aca="false">INT(AL48)</f>
        <v>0</v>
      </c>
      <c r="AN48" s="26" t="n">
        <f aca="false">IF(AND(AG48="Yes",Budget1&lt;ShortlistFinal),AL48-AM48,-1)</f>
        <v>-1</v>
      </c>
      <c r="AO48" s="27" t="n">
        <f aca="false">IF(AG48&lt;&gt;"Yes",0,IF(Budget1&gt;=ShortlistFinal,AK48,AM48+IF(COUNTIFS($AN$5:$AN$119,"&gt;"&amp;AN48)+COUNTIFS($AN$5:$AN$119,AN48,$AF$5:$AF$119,"&lt;"&amp;AF48)&lt;Budget1-SUM($AM$5:$AM$119),1,0)))</f>
        <v>0</v>
      </c>
      <c r="AP48" s="26" t="n">
        <f aca="false">IF(AG48="Yes",IF(Budget2&gt;=ShortlistFinal,AK48,AK48/ShortlistFinal*Budget2),0)</f>
        <v>0</v>
      </c>
      <c r="AQ48" s="30" t="n">
        <f aca="false">INT(AP48)</f>
        <v>0</v>
      </c>
      <c r="AR48" s="26" t="n">
        <f aca="false">IF(AND(AG48="Yes",Budget2&lt;ShortlistFinal),AP48-AQ48,-1)</f>
        <v>-1</v>
      </c>
      <c r="AS48" s="27" t="n">
        <f aca="false">IF(AG48&lt;&gt;"Yes",0,IF(Budget2&gt;=ShortlistFinal,AK48,AQ48+IF(COUNTIFS($AR$5:$AR$119,"&gt;"&amp;AR48)+COUNTIFS($AR$5:$AR$119,AR48,$AF$5:$AF$119,"&lt;"&amp;AF48)&lt;Budget2-SUM($AQ$5:$AQ$119),1,0)))</f>
        <v>0</v>
      </c>
      <c r="AT48" s="26" t="n">
        <f aca="false">AK48*Share2025</f>
        <v>0</v>
      </c>
      <c r="AU48" s="26" t="n">
        <f aca="false">AK48*Share2026</f>
        <v>0</v>
      </c>
      <c r="AV48" s="26" t="n">
        <f aca="false">AK48*Share2027</f>
        <v>0</v>
      </c>
      <c r="AW48" s="31" t="n">
        <f aca="false">INT(AT48)</f>
        <v>0</v>
      </c>
      <c r="AX48" s="31" t="n">
        <f aca="false">INT(AU48)</f>
        <v>0</v>
      </c>
      <c r="AY48" s="31" t="n">
        <f aca="false">INT(AV48)</f>
        <v>0</v>
      </c>
      <c r="AZ48" s="26" t="n">
        <f aca="false">AT48-AW48</f>
        <v>0</v>
      </c>
      <c r="BA48" s="26" t="n">
        <f aca="false">AU48-AX48</f>
        <v>0</v>
      </c>
      <c r="BB48" s="26" t="n">
        <f aca="false">AV48-AY48</f>
        <v>0</v>
      </c>
      <c r="BC48" s="31" t="n">
        <f aca="false">AK48-AW48-AX48-AY48</f>
        <v>0</v>
      </c>
      <c r="BD48" s="27" t="n">
        <f aca="false">AW48+IF((BA48&gt;AZ48)+(BB48&gt;AZ48)&lt;BC48,1,0)</f>
        <v>0</v>
      </c>
      <c r="BE48" s="27" t="n">
        <f aca="false">AX48+IF((AZ48&gt;BA48)+(BB48&gt;BA48)+(AZ48=BA48)&lt;BC48,1,0)</f>
        <v>0</v>
      </c>
      <c r="BF48" s="27" t="n">
        <f aca="false">AY48+IF((AZ48&gt;BB48)+(BA48&gt;BB48)+(AZ48=BB48)+(BA48=BB48)&lt;BC48,1,0)</f>
        <v>0</v>
      </c>
    </row>
    <row r="49" customFormat="false" ht="15" hidden="false" customHeight="false" outlineLevel="0" collapsed="false">
      <c r="A49" s="22" t="str">
        <f aca="false">'District Data'!A49</f>
        <v>Khanewal</v>
      </c>
      <c r="B49" s="22" t="str">
        <f aca="false">'District Data'!C49</f>
        <v>Multan Region</v>
      </c>
      <c r="C49" s="22" t="str">
        <f aca="false">'District Data'!D49</f>
        <v>Stronghold</v>
      </c>
      <c r="D49" s="23" t="n">
        <f aca="false">ROUND('District Data'!E49*'District Data'!F49,0)</f>
        <v>768089</v>
      </c>
      <c r="E49" s="23" t="n">
        <f aca="false">'District Data'!I49</f>
        <v>218</v>
      </c>
      <c r="F49" s="23" t="n">
        <f aca="false">'District Data'!L49</f>
        <v>198126.8</v>
      </c>
      <c r="G49" s="24" t="n">
        <f aca="false">IFERROR(F49/(E49*Weeks),0)</f>
        <v>17.4776640790402</v>
      </c>
      <c r="H49" s="25" t="n">
        <f aca="false">IFERROR('District Data'!N49/('District Data'!M49*Weeks),0)</f>
        <v>9.94666666666667</v>
      </c>
      <c r="I49" s="24" t="n">
        <f aca="false">IFERROR(SUMIFS('District Data'!$N$5:$N$119,'District Data'!$C$5:$C$119,B49)/(SUMIFS('District Data'!$M$5:$M$119,'District Data'!$C$5:$C$119,B49)*Weeks),0)</f>
        <v>8.16663285109386</v>
      </c>
      <c r="J49" s="24" t="n">
        <f aca="false">IF(TPBasis="NI TP",IF(H49&gt;0,H49,I49),G49)</f>
        <v>9.94666666666667</v>
      </c>
      <c r="K49" s="26" t="n">
        <f aca="false">IFERROR(F49/D49,0)</f>
        <v>0.257947711788608</v>
      </c>
      <c r="L49" s="27" t="n">
        <f aca="false">IFERROR(D49/E49,0)</f>
        <v>3523.34403669725</v>
      </c>
      <c r="M49" s="28" t="n">
        <f aca="false">IFERROR('District Data'!L49/'District Data'!K49-1,0)</f>
        <v>0.0305562014082537</v>
      </c>
      <c r="N49" s="28" t="n">
        <f aca="false">IFERROR(('District Data'!L49/'District Data'!J49)^(1/2)-1,0)</f>
        <v>0.0224760416575129</v>
      </c>
      <c r="O49" s="28" t="n">
        <f aca="false">IFERROR('District Data'!I49/'District Data'!H49-1,0)</f>
        <v>0.123711340206186</v>
      </c>
      <c r="P49" s="7" t="str">
        <f aca="false">IF(K49&gt;=PCC_L1,"Layer 01",IF(K49&gt;=PCC_L2,"Layer 02",IF(K49&gt;=PCC_L3,"Layer 03",IF(K49&gt;=PCC_L4,"Layer 04","Layer 05"))))</f>
        <v>Layer 04</v>
      </c>
      <c r="Q49" s="7" t="str">
        <f aca="false">IF(L49&gt;=PPO_L1,"Layer 01",IF(L49&gt;=PPO_L2,"Layer 02",IF(L49&gt;=PPO_L3,"Layer 03",IF(L49&gt;=PPO_L4,"Layer 04","Layer 05"))))</f>
        <v>Layer 03</v>
      </c>
      <c r="R49" s="29" t="n">
        <f aca="false">D49/IdealPPO-E49</f>
        <v>806.118666666667</v>
      </c>
      <c r="S49" s="29" t="n">
        <f aca="false">IdealTP*Weeks-(Weeks*J49+FirstFill)</f>
        <v>182.773333333333</v>
      </c>
      <c r="T49" s="29" t="n">
        <f aca="false">IF(S49&gt;0,(F49-IdealTP*Weeks*E49)/S49,1000000000000)</f>
        <v>153.670119638167</v>
      </c>
      <c r="U49" s="27" t="n">
        <f aca="false">IF(E49&lt;=0,0,IF(G49&lt;=IdealTP,0,IF(L49&lt;=IdealPPO,0,INT(MIN(T49,R49)+0.000000001))))</f>
        <v>153</v>
      </c>
      <c r="V49" s="7" t="str">
        <f aca="false">IF(E49&lt;=0,"No current outlets",IF(G49&lt;=IdealTP,"TP already at or below ideal",IF(L49&lt;=IdealPPO,"PPO already at or below ideal",IF(T49&lt;=R49,"Stopped by TP reaching ideal","Stopped by PPO reaching ideal"))))</f>
        <v>Stopped by TP reaching ideal</v>
      </c>
      <c r="W49" s="30" t="n">
        <f aca="false">F49+U49*(Weeks*J49+FirstFill)</f>
        <v>289502.48</v>
      </c>
      <c r="X49" s="30" t="n">
        <f aca="false">E49+U49</f>
        <v>371</v>
      </c>
      <c r="Y49" s="24" t="n">
        <f aca="false">IFERROR(W49/(X49*Weeks),0)</f>
        <v>15.006348745594</v>
      </c>
      <c r="Z49" s="30" t="n">
        <f aca="false">IFERROR(D49/X49,0)</f>
        <v>2070.32075471698</v>
      </c>
      <c r="AA49" s="7" t="str">
        <f aca="false">IF(AND(K49&gt;=NationalPCC,L49&gt;IdealPPO),"Q1: High PCC, High PPO",IF(K49&gt;=NationalPCC,"Q2: High PCC, Low PPO",IF(L49&gt;IdealPPO,"Q3: Low PCC, High PPO","Q4: Low PCC, Low PPO")))</f>
        <v>Q3: Low PCC, High PPO</v>
      </c>
      <c r="AB49" s="7" t="str">
        <f aca="false">IF(K49&gt;=NationalPCC,IF(L49&gt;IdealPPO,"Phase 1","Phase 2"),"Phase 3")</f>
        <v>Phase 3</v>
      </c>
      <c r="AC49" s="7" t="str">
        <f aca="false">IF(AND(G49&gt;IdealTP,L49&gt;IdealPPO),"High TP, High PPO",IF(G49&gt;IdealTP,"High TP, Low PPO",IF(L49&gt;IdealPPO,"Low TP, High PPO","Low TP, Low PPO")))</f>
        <v>High TP, High PPO</v>
      </c>
      <c r="AD49" s="31" t="n">
        <f aca="false">INDEX(WaveNumbers,MATCH(C49,WaveNames,0))</f>
        <v>1</v>
      </c>
      <c r="AE49" s="32" t="n">
        <f aca="false">IF(U49&gt;0,AD49*10000000+VALUE(RIGHT(AB49,1))*1000000+(1000000-U49)+ROW()/1000000,"")</f>
        <v>13999847.000049</v>
      </c>
      <c r="AF49" s="31" t="n">
        <f aca="false">IF(U49&gt;0,COUNTIFS($AE$5:$AE$119,"&lt;"&amp;AE49)+1,"")</f>
        <v>14</v>
      </c>
      <c r="AG49" s="7" t="str">
        <f aca="false">IF(AF49="","No",IF(AF49&lt;=TopN,"Yes","No"))</f>
        <v>Yes</v>
      </c>
      <c r="AH49" s="30" t="n">
        <f aca="false">INT('District Data'!O49*ConvRate)</f>
        <v>88</v>
      </c>
      <c r="AI49" s="27" t="n">
        <f aca="false">MIN(U49,AH49)</f>
        <v>88</v>
      </c>
      <c r="AJ49" s="7" t="str">
        <f aca="false">IF(U49=0,"No expansion",IF(AH49&lt;U49,"Supply constrained (not enough shops)","Demand constrained (enough shops)"))</f>
        <v>Supply constrained (not enough shops)</v>
      </c>
      <c r="AK49" s="30" t="n">
        <f aca="false">IF(AG49="Yes",AI49,0)</f>
        <v>88</v>
      </c>
      <c r="AL49" s="26" t="n">
        <f aca="false">IF(AG49="Yes",IF(Budget1&gt;=ShortlistFinal,AK49,AK49/ShortlistFinal*Budget1),0)</f>
        <v>52.0325203252033</v>
      </c>
      <c r="AM49" s="30" t="n">
        <f aca="false">INT(AL49)</f>
        <v>52</v>
      </c>
      <c r="AN49" s="26" t="n">
        <f aca="false">IF(AND(AG49="Yes",Budget1&lt;ShortlistFinal),AL49-AM49,-1)</f>
        <v>0.0325203252032509</v>
      </c>
      <c r="AO49" s="27" t="n">
        <f aca="false">IF(AG49&lt;&gt;"Yes",0,IF(Budget1&gt;=ShortlistFinal,AK49,AM49+IF(COUNTIFS($AN$5:$AN$119,"&gt;"&amp;AN49)+COUNTIFS($AN$5:$AN$119,AN49,$AF$5:$AF$119,"&lt;"&amp;AF49)&lt;Budget1-SUM($AM$5:$AM$119),1,0)))</f>
        <v>52</v>
      </c>
      <c r="AP49" s="26" t="n">
        <f aca="false">IF(AG49="Yes",IF(Budget2&gt;=ShortlistFinal,AK49,AK49/ShortlistFinal*Budget2),0)</f>
        <v>78.0487804878049</v>
      </c>
      <c r="AQ49" s="30" t="n">
        <f aca="false">INT(AP49)</f>
        <v>78</v>
      </c>
      <c r="AR49" s="26" t="n">
        <f aca="false">IF(AND(AG49="Yes",Budget2&lt;ShortlistFinal),AP49-AQ49,-1)</f>
        <v>0.0487804878048763</v>
      </c>
      <c r="AS49" s="27" t="n">
        <f aca="false">IF(AG49&lt;&gt;"Yes",0,IF(Budget2&gt;=ShortlistFinal,AK49,AQ49+IF(COUNTIFS($AR$5:$AR$119,"&gt;"&amp;AR49)+COUNTIFS($AR$5:$AR$119,AR49,$AF$5:$AF$119,"&lt;"&amp;AF49)&lt;Budget2-SUM($AQ$5:$AQ$119),1,0)))</f>
        <v>78</v>
      </c>
      <c r="AT49" s="26" t="n">
        <f aca="false">AK49*Share2025</f>
        <v>31.0588235294118</v>
      </c>
      <c r="AU49" s="26" t="n">
        <f aca="false">AK49*Share2026</f>
        <v>31.0588235294118</v>
      </c>
      <c r="AV49" s="26" t="n">
        <f aca="false">AK49*Share2027</f>
        <v>25.8823529411765</v>
      </c>
      <c r="AW49" s="31" t="n">
        <f aca="false">INT(AT49)</f>
        <v>31</v>
      </c>
      <c r="AX49" s="31" t="n">
        <f aca="false">INT(AU49)</f>
        <v>31</v>
      </c>
      <c r="AY49" s="31" t="n">
        <f aca="false">INT(AV49)</f>
        <v>25</v>
      </c>
      <c r="AZ49" s="26" t="n">
        <f aca="false">AT49-AW49</f>
        <v>0.0588235294117716</v>
      </c>
      <c r="BA49" s="26" t="n">
        <f aca="false">AU49-AX49</f>
        <v>0.0588235294117716</v>
      </c>
      <c r="BB49" s="26" t="n">
        <f aca="false">AV49-AY49</f>
        <v>0.882352941176468</v>
      </c>
      <c r="BC49" s="31" t="n">
        <f aca="false">AK49-AW49-AX49-AY49</f>
        <v>1</v>
      </c>
      <c r="BD49" s="27" t="n">
        <f aca="false">AW49+IF((BA49&gt;AZ49)+(BB49&gt;AZ49)&lt;BC49,1,0)</f>
        <v>31</v>
      </c>
      <c r="BE49" s="27" t="n">
        <f aca="false">AX49+IF((AZ49&gt;BA49)+(BB49&gt;BA49)+(AZ49=BA49)&lt;BC49,1,0)</f>
        <v>31</v>
      </c>
      <c r="BF49" s="27" t="n">
        <f aca="false">AY49+IF((AZ49&gt;BB49)+(BA49&gt;BB49)+(AZ49=BB49)+(BA49=BB49)&lt;BC49,1,0)</f>
        <v>26</v>
      </c>
    </row>
    <row r="50" customFormat="false" ht="15" hidden="false" customHeight="false" outlineLevel="0" collapsed="false">
      <c r="A50" s="22" t="str">
        <f aca="false">'District Data'!A50</f>
        <v>Kharan</v>
      </c>
      <c r="B50" s="22" t="str">
        <f aca="false">'District Data'!C50</f>
        <v>Karachi Region</v>
      </c>
      <c r="C50" s="22" t="str">
        <f aca="false">'District Data'!D50</f>
        <v>Rest</v>
      </c>
      <c r="D50" s="23" t="n">
        <f aca="false">ROUND('District Data'!E50*'District Data'!F50,0)</f>
        <v>168519</v>
      </c>
      <c r="E50" s="23" t="n">
        <f aca="false">'District Data'!I50</f>
        <v>8</v>
      </c>
      <c r="F50" s="23" t="n">
        <f aca="false">'District Data'!L50</f>
        <v>3401.5</v>
      </c>
      <c r="G50" s="24" t="n">
        <f aca="false">IFERROR(F50/(E50*Weeks),0)</f>
        <v>8.17668269230769</v>
      </c>
      <c r="H50" s="25" t="n">
        <f aca="false">IFERROR('District Data'!N50/('District Data'!M50*Weeks),0)</f>
        <v>3.97211538461539</v>
      </c>
      <c r="I50" s="24" t="n">
        <f aca="false">IFERROR(SUMIFS('District Data'!$N$5:$N$119,'District Data'!$C$5:$C$119,B50)/(SUMIFS('District Data'!$M$5:$M$119,'District Data'!$C$5:$C$119,B50)*Weeks),0)</f>
        <v>12.952446872194</v>
      </c>
      <c r="J50" s="24" t="n">
        <f aca="false">IF(TPBasis="NI TP",IF(H50&gt;0,H50,I50),G50)</f>
        <v>3.97211538461539</v>
      </c>
      <c r="K50" s="26" t="n">
        <f aca="false">IFERROR(F50/D50,0)</f>
        <v>0.0201846676042464</v>
      </c>
      <c r="L50" s="27" t="n">
        <f aca="false">IFERROR(D50/E50,0)</f>
        <v>21064.875</v>
      </c>
      <c r="M50" s="28" t="n">
        <f aca="false">IFERROR('District Data'!L50/'District Data'!K50-1,0)</f>
        <v>0.234664246823956</v>
      </c>
      <c r="N50" s="28" t="n">
        <f aca="false">IFERROR(('District Data'!L50/'District Data'!J50)^(1/2)-1,0)</f>
        <v>0.123976889567693</v>
      </c>
      <c r="O50" s="28" t="n">
        <f aca="false">IFERROR('District Data'!I50/'District Data'!H50-1,0)</f>
        <v>0.333333333333333</v>
      </c>
      <c r="P50" s="7" t="str">
        <f aca="false">IF(K50&gt;=PCC_L1,"Layer 01",IF(K50&gt;=PCC_L2,"Layer 02",IF(K50&gt;=PCC_L3,"Layer 03",IF(K50&gt;=PCC_L4,"Layer 04","Layer 05"))))</f>
        <v>Layer 05</v>
      </c>
      <c r="Q50" s="7" t="str">
        <f aca="false">IF(L50&gt;=PPO_L1,"Layer 01",IF(L50&gt;=PPO_L2,"Layer 02",IF(L50&gt;=PPO_L3,"Layer 03",IF(L50&gt;=PPO_L4,"Layer 04","Layer 05"))))</f>
        <v>Layer 02</v>
      </c>
      <c r="R50" s="29" t="n">
        <f aca="false">D50/IdealPPO-E50</f>
        <v>216.692</v>
      </c>
      <c r="S50" s="29" t="n">
        <f aca="false">IdealTP*Weeks-(Weeks*J50+FirstFill)</f>
        <v>493.45</v>
      </c>
      <c r="T50" s="29" t="n">
        <f aca="false">IF(S50&gt;0,(F50-IdealTP*Weeks*E50)/S50,1000000000000)</f>
        <v>-5.75235586178944</v>
      </c>
      <c r="U50" s="27" t="n">
        <f aca="false">IF(E50&lt;=0,0,IF(G50&lt;=IdealTP,0,IF(L50&lt;=IdealPPO,0,INT(MIN(T50,R50)+0.000000001))))</f>
        <v>0</v>
      </c>
      <c r="V50" s="7" t="str">
        <f aca="false">IF(E50&lt;=0,"No current outlets",IF(G50&lt;=IdealTP,"TP already at or below ideal",IF(L50&lt;=IdealPPO,"PPO already at or below ideal",IF(T50&lt;=R50,"Stopped by TP reaching ideal","Stopped by PPO reaching ideal"))))</f>
        <v>TP already at or below ideal</v>
      </c>
      <c r="W50" s="30" t="n">
        <f aca="false">F50+U50*(Weeks*J50+FirstFill)</f>
        <v>3401.5</v>
      </c>
      <c r="X50" s="30" t="n">
        <f aca="false">E50+U50</f>
        <v>8</v>
      </c>
      <c r="Y50" s="24" t="n">
        <f aca="false">IFERROR(W50/(X50*Weeks),0)</f>
        <v>8.17668269230769</v>
      </c>
      <c r="Z50" s="30" t="n">
        <f aca="false">IFERROR(D50/X50,0)</f>
        <v>21064.875</v>
      </c>
      <c r="AA50" s="7" t="str">
        <f aca="false">IF(AND(K50&gt;=NationalPCC,L50&gt;IdealPPO),"Q1: High PCC, High PPO",IF(K50&gt;=NationalPCC,"Q2: High PCC, Low PPO",IF(L50&gt;IdealPPO,"Q3: Low PCC, High PPO","Q4: Low PCC, Low PPO")))</f>
        <v>Q3: Low PCC, High PPO</v>
      </c>
      <c r="AB50" s="7" t="str">
        <f aca="false">IF(K50&gt;=NationalPCC,IF(L50&gt;IdealPPO,"Phase 1","Phase 2"),"Phase 3")</f>
        <v>Phase 3</v>
      </c>
      <c r="AC50" s="7" t="str">
        <f aca="false">IF(AND(G50&gt;IdealTP,L50&gt;IdealPPO),"High TP, High PPO",IF(G50&gt;IdealTP,"High TP, Low PPO",IF(L50&gt;IdealPPO,"Low TP, High PPO","Low TP, Low PPO")))</f>
        <v>Low TP, High PPO</v>
      </c>
      <c r="AD50" s="31" t="n">
        <f aca="false">INDEX(WaveNumbers,MATCH(C50,WaveNames,0))</f>
        <v>4</v>
      </c>
      <c r="AE50" s="32" t="str">
        <f aca="false">IF(U50&gt;0,AD50*10000000+VALUE(RIGHT(AB50,1))*1000000+(1000000-U50)+ROW()/1000000,"")</f>
        <v/>
      </c>
      <c r="AF50" s="31" t="str">
        <f aca="false">IF(U50&gt;0,COUNTIFS($AE$5:$AE$119,"&lt;"&amp;AE50)+1,"")</f>
        <v/>
      </c>
      <c r="AG50" s="7" t="str">
        <f aca="false">IF(AF50="","No",IF(AF50&lt;=TopN,"Yes","No"))</f>
        <v>No</v>
      </c>
      <c r="AH50" s="30" t="n">
        <f aca="false">INT('District Data'!O50*ConvRate)</f>
        <v>25</v>
      </c>
      <c r="AI50" s="27" t="n">
        <f aca="false">MIN(U50,AH50)</f>
        <v>0</v>
      </c>
      <c r="AJ50" s="7" t="str">
        <f aca="false">IF(U50=0,"No expansion",IF(AH50&lt;U50,"Supply constrained (not enough shops)","Demand constrained (enough shops)"))</f>
        <v>No expansion</v>
      </c>
      <c r="AK50" s="30" t="n">
        <f aca="false">IF(AG50="Yes",AI50,0)</f>
        <v>0</v>
      </c>
      <c r="AL50" s="26" t="n">
        <f aca="false">IF(AG50="Yes",IF(Budget1&gt;=ShortlistFinal,AK50,AK50/ShortlistFinal*Budget1),0)</f>
        <v>0</v>
      </c>
      <c r="AM50" s="30" t="n">
        <f aca="false">INT(AL50)</f>
        <v>0</v>
      </c>
      <c r="AN50" s="26" t="n">
        <f aca="false">IF(AND(AG50="Yes",Budget1&lt;ShortlistFinal),AL50-AM50,-1)</f>
        <v>-1</v>
      </c>
      <c r="AO50" s="27" t="n">
        <f aca="false">IF(AG50&lt;&gt;"Yes",0,IF(Budget1&gt;=ShortlistFinal,AK50,AM50+IF(COUNTIFS($AN$5:$AN$119,"&gt;"&amp;AN50)+COUNTIFS($AN$5:$AN$119,AN50,$AF$5:$AF$119,"&lt;"&amp;AF50)&lt;Budget1-SUM($AM$5:$AM$119),1,0)))</f>
        <v>0</v>
      </c>
      <c r="AP50" s="26" t="n">
        <f aca="false">IF(AG50="Yes",IF(Budget2&gt;=ShortlistFinal,AK50,AK50/ShortlistFinal*Budget2),0)</f>
        <v>0</v>
      </c>
      <c r="AQ50" s="30" t="n">
        <f aca="false">INT(AP50)</f>
        <v>0</v>
      </c>
      <c r="AR50" s="26" t="n">
        <f aca="false">IF(AND(AG50="Yes",Budget2&lt;ShortlistFinal),AP50-AQ50,-1)</f>
        <v>-1</v>
      </c>
      <c r="AS50" s="27" t="n">
        <f aca="false">IF(AG50&lt;&gt;"Yes",0,IF(Budget2&gt;=ShortlistFinal,AK50,AQ50+IF(COUNTIFS($AR$5:$AR$119,"&gt;"&amp;AR50)+COUNTIFS($AR$5:$AR$119,AR50,$AF$5:$AF$119,"&lt;"&amp;AF50)&lt;Budget2-SUM($AQ$5:$AQ$119),1,0)))</f>
        <v>0</v>
      </c>
      <c r="AT50" s="26" t="n">
        <f aca="false">AK50*Share2025</f>
        <v>0</v>
      </c>
      <c r="AU50" s="26" t="n">
        <f aca="false">AK50*Share2026</f>
        <v>0</v>
      </c>
      <c r="AV50" s="26" t="n">
        <f aca="false">AK50*Share2027</f>
        <v>0</v>
      </c>
      <c r="AW50" s="31" t="n">
        <f aca="false">INT(AT50)</f>
        <v>0</v>
      </c>
      <c r="AX50" s="31" t="n">
        <f aca="false">INT(AU50)</f>
        <v>0</v>
      </c>
      <c r="AY50" s="31" t="n">
        <f aca="false">INT(AV50)</f>
        <v>0</v>
      </c>
      <c r="AZ50" s="26" t="n">
        <f aca="false">AT50-AW50</f>
        <v>0</v>
      </c>
      <c r="BA50" s="26" t="n">
        <f aca="false">AU50-AX50</f>
        <v>0</v>
      </c>
      <c r="BB50" s="26" t="n">
        <f aca="false">AV50-AY50</f>
        <v>0</v>
      </c>
      <c r="BC50" s="31" t="n">
        <f aca="false">AK50-AW50-AX50-AY50</f>
        <v>0</v>
      </c>
      <c r="BD50" s="27" t="n">
        <f aca="false">AW50+IF((BA50&gt;AZ50)+(BB50&gt;AZ50)&lt;BC50,1,0)</f>
        <v>0</v>
      </c>
      <c r="BE50" s="27" t="n">
        <f aca="false">AX50+IF((AZ50&gt;BA50)+(BB50&gt;BA50)+(AZ50=BA50)&lt;BC50,1,0)</f>
        <v>0</v>
      </c>
      <c r="BF50" s="27" t="n">
        <f aca="false">AY50+IF((AZ50&gt;BB50)+(BA50&gt;BB50)+(AZ50=BB50)+(BA50=BB50)&lt;BC50,1,0)</f>
        <v>0</v>
      </c>
    </row>
    <row r="51" customFormat="false" ht="15" hidden="false" customHeight="false" outlineLevel="0" collapsed="false">
      <c r="A51" s="22" t="str">
        <f aca="false">'District Data'!A51</f>
        <v>Khushab</v>
      </c>
      <c r="B51" s="22" t="str">
        <f aca="false">'District Data'!C51</f>
        <v>Islamabad Region</v>
      </c>
      <c r="C51" s="22" t="str">
        <f aca="false">'District Data'!D51</f>
        <v>Neighbouring</v>
      </c>
      <c r="D51" s="23" t="n">
        <f aca="false">ROUND('District Data'!E51*'District Data'!F51,0)</f>
        <v>391518</v>
      </c>
      <c r="E51" s="23" t="n">
        <f aca="false">'District Data'!I51</f>
        <v>71</v>
      </c>
      <c r="F51" s="23" t="n">
        <f aca="false">'District Data'!L51</f>
        <v>27613.3</v>
      </c>
      <c r="G51" s="24" t="n">
        <f aca="false">IFERROR(F51/(E51*Weeks),0)</f>
        <v>7.47922535211268</v>
      </c>
      <c r="H51" s="25" t="n">
        <f aca="false">IFERROR('District Data'!N51/('District Data'!M51*Weeks),0)</f>
        <v>5.09254807692308</v>
      </c>
      <c r="I51" s="24" t="n">
        <f aca="false">IFERROR(SUMIFS('District Data'!$N$5:$N$119,'District Data'!$C$5:$C$119,B51)/(SUMIFS('District Data'!$M$5:$M$119,'District Data'!$C$5:$C$119,B51)*Weeks),0)</f>
        <v>8.40311578665237</v>
      </c>
      <c r="J51" s="24" t="n">
        <f aca="false">IF(TPBasis="NI TP",IF(H51&gt;0,H51,I51),G51)</f>
        <v>5.09254807692308</v>
      </c>
      <c r="K51" s="26" t="n">
        <f aca="false">IFERROR(F51/D51,0)</f>
        <v>0.0705288134900566</v>
      </c>
      <c r="L51" s="27" t="n">
        <f aca="false">IFERROR(D51/E51,0)</f>
        <v>5514.33802816901</v>
      </c>
      <c r="M51" s="28" t="n">
        <f aca="false">IFERROR('District Data'!L51/'District Data'!K51-1,0)</f>
        <v>-0.00956599713055961</v>
      </c>
      <c r="N51" s="28" t="n">
        <f aca="false">IFERROR(('District Data'!L51/'District Data'!J51)^(1/2)-1,0)</f>
        <v>-0.0111792247824942</v>
      </c>
      <c r="O51" s="28" t="n">
        <f aca="false">IFERROR('District Data'!I51/'District Data'!H51-1,0)</f>
        <v>0.0757575757575757</v>
      </c>
      <c r="P51" s="7" t="str">
        <f aca="false">IF(K51&gt;=PCC_L1,"Layer 01",IF(K51&gt;=PCC_L2,"Layer 02",IF(K51&gt;=PCC_L3,"Layer 03",IF(K51&gt;=PCC_L4,"Layer 04","Layer 05"))))</f>
        <v>Layer 05</v>
      </c>
      <c r="Q51" s="7" t="str">
        <f aca="false">IF(L51&gt;=PPO_L1,"Layer 01",IF(L51&gt;=PPO_L2,"Layer 02",IF(L51&gt;=PPO_L3,"Layer 03",IF(L51&gt;=PPO_L4,"Layer 04","Layer 05"))))</f>
        <v>Layer 03</v>
      </c>
      <c r="R51" s="29" t="n">
        <f aca="false">D51/IdealPPO-E51</f>
        <v>451.024</v>
      </c>
      <c r="S51" s="29" t="n">
        <f aca="false">IdealTP*Weeks-(Weeks*J51+FirstFill)</f>
        <v>435.1875</v>
      </c>
      <c r="T51" s="29" t="n">
        <f aca="false">IF(S51&gt;0,(F51-IdealTP*Weeks*E51)/S51,1000000000000)</f>
        <v>-63.8039925319546</v>
      </c>
      <c r="U51" s="27" t="n">
        <f aca="false">IF(E51&lt;=0,0,IF(G51&lt;=IdealTP,0,IF(L51&lt;=IdealPPO,0,INT(MIN(T51,R51)+0.000000001))))</f>
        <v>0</v>
      </c>
      <c r="V51" s="7" t="str">
        <f aca="false">IF(E51&lt;=0,"No current outlets",IF(G51&lt;=IdealTP,"TP already at or below ideal",IF(L51&lt;=IdealPPO,"PPO already at or below ideal",IF(T51&lt;=R51,"Stopped by TP reaching ideal","Stopped by PPO reaching ideal"))))</f>
        <v>TP already at or below ideal</v>
      </c>
      <c r="W51" s="30" t="n">
        <f aca="false">F51+U51*(Weeks*J51+FirstFill)</f>
        <v>27613.3</v>
      </c>
      <c r="X51" s="30" t="n">
        <f aca="false">E51+U51</f>
        <v>71</v>
      </c>
      <c r="Y51" s="24" t="n">
        <f aca="false">IFERROR(W51/(X51*Weeks),0)</f>
        <v>7.47922535211268</v>
      </c>
      <c r="Z51" s="30" t="n">
        <f aca="false">IFERROR(D51/X51,0)</f>
        <v>5514.33802816901</v>
      </c>
      <c r="AA51" s="7" t="str">
        <f aca="false">IF(AND(K51&gt;=NationalPCC,L51&gt;IdealPPO),"Q1: High PCC, High PPO",IF(K51&gt;=NationalPCC,"Q2: High PCC, Low PPO",IF(L51&gt;IdealPPO,"Q3: Low PCC, High PPO","Q4: Low PCC, Low PPO")))</f>
        <v>Q3: Low PCC, High PPO</v>
      </c>
      <c r="AB51" s="7" t="str">
        <f aca="false">IF(K51&gt;=NationalPCC,IF(L51&gt;IdealPPO,"Phase 1","Phase 2"),"Phase 3")</f>
        <v>Phase 3</v>
      </c>
      <c r="AC51" s="7" t="str">
        <f aca="false">IF(AND(G51&gt;IdealTP,L51&gt;IdealPPO),"High TP, High PPO",IF(G51&gt;IdealTP,"High TP, Low PPO",IF(L51&gt;IdealPPO,"Low TP, High PPO","Low TP, Low PPO")))</f>
        <v>Low TP, High PPO</v>
      </c>
      <c r="AD51" s="31" t="n">
        <f aca="false">INDEX(WaveNumbers,MATCH(C51,WaveNames,0))</f>
        <v>2</v>
      </c>
      <c r="AE51" s="32" t="str">
        <f aca="false">IF(U51&gt;0,AD51*10000000+VALUE(RIGHT(AB51,1))*1000000+(1000000-U51)+ROW()/1000000,"")</f>
        <v/>
      </c>
      <c r="AF51" s="31" t="str">
        <f aca="false">IF(U51&gt;0,COUNTIFS($AE$5:$AE$119,"&lt;"&amp;AE51)+1,"")</f>
        <v/>
      </c>
      <c r="AG51" s="7" t="str">
        <f aca="false">IF(AF51="","No",IF(AF51&lt;=TopN,"Yes","No"))</f>
        <v>No</v>
      </c>
      <c r="AH51" s="30" t="n">
        <f aca="false">INT('District Data'!O51*ConvRate)</f>
        <v>24</v>
      </c>
      <c r="AI51" s="27" t="n">
        <f aca="false">MIN(U51,AH51)</f>
        <v>0</v>
      </c>
      <c r="AJ51" s="7" t="str">
        <f aca="false">IF(U51=0,"No expansion",IF(AH51&lt;U51,"Supply constrained (not enough shops)","Demand constrained (enough shops)"))</f>
        <v>No expansion</v>
      </c>
      <c r="AK51" s="30" t="n">
        <f aca="false">IF(AG51="Yes",AI51,0)</f>
        <v>0</v>
      </c>
      <c r="AL51" s="26" t="n">
        <f aca="false">IF(AG51="Yes",IF(Budget1&gt;=ShortlistFinal,AK51,AK51/ShortlistFinal*Budget1),0)</f>
        <v>0</v>
      </c>
      <c r="AM51" s="30" t="n">
        <f aca="false">INT(AL51)</f>
        <v>0</v>
      </c>
      <c r="AN51" s="26" t="n">
        <f aca="false">IF(AND(AG51="Yes",Budget1&lt;ShortlistFinal),AL51-AM51,-1)</f>
        <v>-1</v>
      </c>
      <c r="AO51" s="27" t="n">
        <f aca="false">IF(AG51&lt;&gt;"Yes",0,IF(Budget1&gt;=ShortlistFinal,AK51,AM51+IF(COUNTIFS($AN$5:$AN$119,"&gt;"&amp;AN51)+COUNTIFS($AN$5:$AN$119,AN51,$AF$5:$AF$119,"&lt;"&amp;AF51)&lt;Budget1-SUM($AM$5:$AM$119),1,0)))</f>
        <v>0</v>
      </c>
      <c r="AP51" s="26" t="n">
        <f aca="false">IF(AG51="Yes",IF(Budget2&gt;=ShortlistFinal,AK51,AK51/ShortlistFinal*Budget2),0)</f>
        <v>0</v>
      </c>
      <c r="AQ51" s="30" t="n">
        <f aca="false">INT(AP51)</f>
        <v>0</v>
      </c>
      <c r="AR51" s="26" t="n">
        <f aca="false">IF(AND(AG51="Yes",Budget2&lt;ShortlistFinal),AP51-AQ51,-1)</f>
        <v>-1</v>
      </c>
      <c r="AS51" s="27" t="n">
        <f aca="false">IF(AG51&lt;&gt;"Yes",0,IF(Budget2&gt;=ShortlistFinal,AK51,AQ51+IF(COUNTIFS($AR$5:$AR$119,"&gt;"&amp;AR51)+COUNTIFS($AR$5:$AR$119,AR51,$AF$5:$AF$119,"&lt;"&amp;AF51)&lt;Budget2-SUM($AQ$5:$AQ$119),1,0)))</f>
        <v>0</v>
      </c>
      <c r="AT51" s="26" t="n">
        <f aca="false">AK51*Share2025</f>
        <v>0</v>
      </c>
      <c r="AU51" s="26" t="n">
        <f aca="false">AK51*Share2026</f>
        <v>0</v>
      </c>
      <c r="AV51" s="26" t="n">
        <f aca="false">AK51*Share2027</f>
        <v>0</v>
      </c>
      <c r="AW51" s="31" t="n">
        <f aca="false">INT(AT51)</f>
        <v>0</v>
      </c>
      <c r="AX51" s="31" t="n">
        <f aca="false">INT(AU51)</f>
        <v>0</v>
      </c>
      <c r="AY51" s="31" t="n">
        <f aca="false">INT(AV51)</f>
        <v>0</v>
      </c>
      <c r="AZ51" s="26" t="n">
        <f aca="false">AT51-AW51</f>
        <v>0</v>
      </c>
      <c r="BA51" s="26" t="n">
        <f aca="false">AU51-AX51</f>
        <v>0</v>
      </c>
      <c r="BB51" s="26" t="n">
        <f aca="false">AV51-AY51</f>
        <v>0</v>
      </c>
      <c r="BC51" s="31" t="n">
        <f aca="false">AK51-AW51-AX51-AY51</f>
        <v>0</v>
      </c>
      <c r="BD51" s="27" t="n">
        <f aca="false">AW51+IF((BA51&gt;AZ51)+(BB51&gt;AZ51)&lt;BC51,1,0)</f>
        <v>0</v>
      </c>
      <c r="BE51" s="27" t="n">
        <f aca="false">AX51+IF((AZ51&gt;BA51)+(BB51&gt;BA51)+(AZ51=BA51)&lt;BC51,1,0)</f>
        <v>0</v>
      </c>
      <c r="BF51" s="27" t="n">
        <f aca="false">AY51+IF((AZ51&gt;BB51)+(BA51&gt;BB51)+(AZ51=BB51)+(BA51=BB51)&lt;BC51,1,0)</f>
        <v>0</v>
      </c>
    </row>
    <row r="52" customFormat="false" ht="15" hidden="false" customHeight="false" outlineLevel="0" collapsed="false">
      <c r="A52" s="22" t="str">
        <f aca="false">'District Data'!A52</f>
        <v>Khuzdar</v>
      </c>
      <c r="B52" s="22" t="str">
        <f aca="false">'District Data'!C52</f>
        <v>Karachi Region</v>
      </c>
      <c r="C52" s="22" t="str">
        <f aca="false">'District Data'!D52</f>
        <v>Rest</v>
      </c>
      <c r="D52" s="23" t="n">
        <f aca="false">ROUND('District Data'!E52*'District Data'!F52,0)</f>
        <v>393208</v>
      </c>
      <c r="E52" s="23" t="n">
        <f aca="false">'District Data'!I52</f>
        <v>33</v>
      </c>
      <c r="F52" s="23" t="n">
        <f aca="false">'District Data'!L52</f>
        <v>21737.5</v>
      </c>
      <c r="G52" s="24" t="n">
        <f aca="false">IFERROR(F52/(E52*Weeks),0)</f>
        <v>12.6675407925408</v>
      </c>
      <c r="H52" s="25" t="n">
        <f aca="false">IFERROR('District Data'!N52/('District Data'!M52*Weeks),0)</f>
        <v>9.20961538461538</v>
      </c>
      <c r="I52" s="24" t="n">
        <f aca="false">IFERROR(SUMIFS('District Data'!$N$5:$N$119,'District Data'!$C$5:$C$119,B52)/(SUMIFS('District Data'!$M$5:$M$119,'District Data'!$C$5:$C$119,B52)*Weeks),0)</f>
        <v>12.952446872194</v>
      </c>
      <c r="J52" s="24" t="n">
        <f aca="false">IF(TPBasis="NI TP",IF(H52&gt;0,H52,I52),G52)</f>
        <v>9.20961538461538</v>
      </c>
      <c r="K52" s="26" t="n">
        <f aca="false">IFERROR(F52/D52,0)</f>
        <v>0.0552824459319241</v>
      </c>
      <c r="L52" s="27" t="n">
        <f aca="false">IFERROR(D52/E52,0)</f>
        <v>11915.3939393939</v>
      </c>
      <c r="M52" s="28" t="n">
        <f aca="false">IFERROR('District Data'!L52/'District Data'!K52-1,0)</f>
        <v>-0.00912584272735983</v>
      </c>
      <c r="N52" s="28" t="n">
        <f aca="false">IFERROR(('District Data'!L52/'District Data'!J52)^(1/2)-1,0)</f>
        <v>0.0180602567971169</v>
      </c>
      <c r="O52" s="28" t="n">
        <f aca="false">IFERROR('District Data'!I52/'District Data'!H52-1,0)</f>
        <v>0.03125</v>
      </c>
      <c r="P52" s="7" t="str">
        <f aca="false">IF(K52&gt;=PCC_L1,"Layer 01",IF(K52&gt;=PCC_L2,"Layer 02",IF(K52&gt;=PCC_L3,"Layer 03",IF(K52&gt;=PCC_L4,"Layer 04","Layer 05"))))</f>
        <v>Layer 05</v>
      </c>
      <c r="Q52" s="7" t="str">
        <f aca="false">IF(L52&gt;=PPO_L1,"Layer 01",IF(L52&gt;=PPO_L2,"Layer 02",IF(L52&gt;=PPO_L3,"Layer 03",IF(L52&gt;=PPO_L4,"Layer 04","Layer 05"))))</f>
        <v>Layer 03</v>
      </c>
      <c r="R52" s="29" t="n">
        <f aca="false">D52/IdealPPO-E52</f>
        <v>491.277333333333</v>
      </c>
      <c r="S52" s="29" t="n">
        <f aca="false">IdealTP*Weeks-(Weeks*J52+FirstFill)</f>
        <v>221.1</v>
      </c>
      <c r="T52" s="29" t="n">
        <f aca="false">IF(S52&gt;0,(F52-IdealTP*Weeks*E52)/S52,1000000000000)</f>
        <v>-18.1026684758028</v>
      </c>
      <c r="U52" s="27" t="n">
        <f aca="false">IF(E52&lt;=0,0,IF(G52&lt;=IdealTP,0,IF(L52&lt;=IdealPPO,0,INT(MIN(T52,R52)+0.000000001))))</f>
        <v>0</v>
      </c>
      <c r="V52" s="7" t="str">
        <f aca="false">IF(E52&lt;=0,"No current outlets",IF(G52&lt;=IdealTP,"TP already at or below ideal",IF(L52&lt;=IdealPPO,"PPO already at or below ideal",IF(T52&lt;=R52,"Stopped by TP reaching ideal","Stopped by PPO reaching ideal"))))</f>
        <v>TP already at or below ideal</v>
      </c>
      <c r="W52" s="30" t="n">
        <f aca="false">F52+U52*(Weeks*J52+FirstFill)</f>
        <v>21737.5</v>
      </c>
      <c r="X52" s="30" t="n">
        <f aca="false">E52+U52</f>
        <v>33</v>
      </c>
      <c r="Y52" s="24" t="n">
        <f aca="false">IFERROR(W52/(X52*Weeks),0)</f>
        <v>12.6675407925408</v>
      </c>
      <c r="Z52" s="30" t="n">
        <f aca="false">IFERROR(D52/X52,0)</f>
        <v>11915.3939393939</v>
      </c>
      <c r="AA52" s="7" t="str">
        <f aca="false">IF(AND(K52&gt;=NationalPCC,L52&gt;IdealPPO),"Q1: High PCC, High PPO",IF(K52&gt;=NationalPCC,"Q2: High PCC, Low PPO",IF(L52&gt;IdealPPO,"Q3: Low PCC, High PPO","Q4: Low PCC, Low PPO")))</f>
        <v>Q3: Low PCC, High PPO</v>
      </c>
      <c r="AB52" s="7" t="str">
        <f aca="false">IF(K52&gt;=NationalPCC,IF(L52&gt;IdealPPO,"Phase 1","Phase 2"),"Phase 3")</f>
        <v>Phase 3</v>
      </c>
      <c r="AC52" s="7" t="str">
        <f aca="false">IF(AND(G52&gt;IdealTP,L52&gt;IdealPPO),"High TP, High PPO",IF(G52&gt;IdealTP,"High TP, Low PPO",IF(L52&gt;IdealPPO,"Low TP, High PPO","Low TP, Low PPO")))</f>
        <v>Low TP, High PPO</v>
      </c>
      <c r="AD52" s="31" t="n">
        <f aca="false">INDEX(WaveNumbers,MATCH(C52,WaveNames,0))</f>
        <v>4</v>
      </c>
      <c r="AE52" s="32" t="str">
        <f aca="false">IF(U52&gt;0,AD52*10000000+VALUE(RIGHT(AB52,1))*1000000+(1000000-U52)+ROW()/1000000,"")</f>
        <v/>
      </c>
      <c r="AF52" s="31" t="str">
        <f aca="false">IF(U52&gt;0,COUNTIFS($AE$5:$AE$119,"&lt;"&amp;AE52)+1,"")</f>
        <v/>
      </c>
      <c r="AG52" s="7" t="str">
        <f aca="false">IF(AF52="","No",IF(AF52&lt;=TopN,"Yes","No"))</f>
        <v>No</v>
      </c>
      <c r="AH52" s="30" t="n">
        <f aca="false">INT('District Data'!O52*ConvRate)</f>
        <v>23</v>
      </c>
      <c r="AI52" s="27" t="n">
        <f aca="false">MIN(U52,AH52)</f>
        <v>0</v>
      </c>
      <c r="AJ52" s="7" t="str">
        <f aca="false">IF(U52=0,"No expansion",IF(AH52&lt;U52,"Supply constrained (not enough shops)","Demand constrained (enough shops)"))</f>
        <v>No expansion</v>
      </c>
      <c r="AK52" s="30" t="n">
        <f aca="false">IF(AG52="Yes",AI52,0)</f>
        <v>0</v>
      </c>
      <c r="AL52" s="26" t="n">
        <f aca="false">IF(AG52="Yes",IF(Budget1&gt;=ShortlistFinal,AK52,AK52/ShortlistFinal*Budget1),0)</f>
        <v>0</v>
      </c>
      <c r="AM52" s="30" t="n">
        <f aca="false">INT(AL52)</f>
        <v>0</v>
      </c>
      <c r="AN52" s="26" t="n">
        <f aca="false">IF(AND(AG52="Yes",Budget1&lt;ShortlistFinal),AL52-AM52,-1)</f>
        <v>-1</v>
      </c>
      <c r="AO52" s="27" t="n">
        <f aca="false">IF(AG52&lt;&gt;"Yes",0,IF(Budget1&gt;=ShortlistFinal,AK52,AM52+IF(COUNTIFS($AN$5:$AN$119,"&gt;"&amp;AN52)+COUNTIFS($AN$5:$AN$119,AN52,$AF$5:$AF$119,"&lt;"&amp;AF52)&lt;Budget1-SUM($AM$5:$AM$119),1,0)))</f>
        <v>0</v>
      </c>
      <c r="AP52" s="26" t="n">
        <f aca="false">IF(AG52="Yes",IF(Budget2&gt;=ShortlistFinal,AK52,AK52/ShortlistFinal*Budget2),0)</f>
        <v>0</v>
      </c>
      <c r="AQ52" s="30" t="n">
        <f aca="false">INT(AP52)</f>
        <v>0</v>
      </c>
      <c r="AR52" s="26" t="n">
        <f aca="false">IF(AND(AG52="Yes",Budget2&lt;ShortlistFinal),AP52-AQ52,-1)</f>
        <v>-1</v>
      </c>
      <c r="AS52" s="27" t="n">
        <f aca="false">IF(AG52&lt;&gt;"Yes",0,IF(Budget2&gt;=ShortlistFinal,AK52,AQ52+IF(COUNTIFS($AR$5:$AR$119,"&gt;"&amp;AR52)+COUNTIFS($AR$5:$AR$119,AR52,$AF$5:$AF$119,"&lt;"&amp;AF52)&lt;Budget2-SUM($AQ$5:$AQ$119),1,0)))</f>
        <v>0</v>
      </c>
      <c r="AT52" s="26" t="n">
        <f aca="false">AK52*Share2025</f>
        <v>0</v>
      </c>
      <c r="AU52" s="26" t="n">
        <f aca="false">AK52*Share2026</f>
        <v>0</v>
      </c>
      <c r="AV52" s="26" t="n">
        <f aca="false">AK52*Share2027</f>
        <v>0</v>
      </c>
      <c r="AW52" s="31" t="n">
        <f aca="false">INT(AT52)</f>
        <v>0</v>
      </c>
      <c r="AX52" s="31" t="n">
        <f aca="false">INT(AU52)</f>
        <v>0</v>
      </c>
      <c r="AY52" s="31" t="n">
        <f aca="false">INT(AV52)</f>
        <v>0</v>
      </c>
      <c r="AZ52" s="26" t="n">
        <f aca="false">AT52-AW52</f>
        <v>0</v>
      </c>
      <c r="BA52" s="26" t="n">
        <f aca="false">AU52-AX52</f>
        <v>0</v>
      </c>
      <c r="BB52" s="26" t="n">
        <f aca="false">AV52-AY52</f>
        <v>0</v>
      </c>
      <c r="BC52" s="31" t="n">
        <f aca="false">AK52-AW52-AX52-AY52</f>
        <v>0</v>
      </c>
      <c r="BD52" s="27" t="n">
        <f aca="false">AW52+IF((BA52&gt;AZ52)+(BB52&gt;AZ52)&lt;BC52,1,0)</f>
        <v>0</v>
      </c>
      <c r="BE52" s="27" t="n">
        <f aca="false">AX52+IF((AZ52&gt;BA52)+(BB52&gt;BA52)+(AZ52=BA52)&lt;BC52,1,0)</f>
        <v>0</v>
      </c>
      <c r="BF52" s="27" t="n">
        <f aca="false">AY52+IF((AZ52&gt;BB52)+(BA52&gt;BB52)+(AZ52=BB52)+(BA52=BB52)&lt;BC52,1,0)</f>
        <v>0</v>
      </c>
    </row>
    <row r="53" customFormat="false" ht="15" hidden="false" customHeight="false" outlineLevel="0" collapsed="false">
      <c r="A53" s="22" t="str">
        <f aca="false">'District Data'!A53</f>
        <v>Khyber</v>
      </c>
      <c r="B53" s="22" t="str">
        <f aca="false">'District Data'!C53</f>
        <v>Peshawar Region</v>
      </c>
      <c r="C53" s="22" t="str">
        <f aca="false">'District Data'!D53</f>
        <v>Neighbouring</v>
      </c>
      <c r="D53" s="23" t="n">
        <f aca="false">ROUND('District Data'!E53*'District Data'!F53,0)</f>
        <v>241029</v>
      </c>
      <c r="E53" s="23" t="n">
        <f aca="false">'District Data'!I53</f>
        <v>48</v>
      </c>
      <c r="F53" s="23" t="n">
        <f aca="false">'District Data'!L53</f>
        <v>31623</v>
      </c>
      <c r="G53" s="24" t="n">
        <f aca="false">IFERROR(F53/(E53*Weeks),0)</f>
        <v>12.6694711538462</v>
      </c>
      <c r="H53" s="25" t="n">
        <f aca="false">IFERROR('District Data'!N53/('District Data'!M53*Weeks),0)</f>
        <v>7.92596153846154</v>
      </c>
      <c r="I53" s="24" t="n">
        <f aca="false">IFERROR(SUMIFS('District Data'!$N$5:$N$119,'District Data'!$C$5:$C$119,B53)/(SUMIFS('District Data'!$M$5:$M$119,'District Data'!$C$5:$C$119,B53)*Weeks),0)</f>
        <v>7.60397053195561</v>
      </c>
      <c r="J53" s="24" t="n">
        <f aca="false">IF(TPBasis="NI TP",IF(H53&gt;0,H53,I53),G53)</f>
        <v>7.92596153846154</v>
      </c>
      <c r="K53" s="26" t="n">
        <f aca="false">IFERROR(F53/D53,0)</f>
        <v>0.131199980085384</v>
      </c>
      <c r="L53" s="27" t="n">
        <f aca="false">IFERROR(D53/E53,0)</f>
        <v>5021.4375</v>
      </c>
      <c r="M53" s="28" t="n">
        <f aca="false">IFERROR('District Data'!L53/'District Data'!K53-1,0)</f>
        <v>0.0212794817223818</v>
      </c>
      <c r="N53" s="28" t="n">
        <f aca="false">IFERROR(('District Data'!L53/'District Data'!J53)^(1/2)-1,0)</f>
        <v>0.0666158643310713</v>
      </c>
      <c r="O53" s="28" t="n">
        <f aca="false">IFERROR('District Data'!I53/'District Data'!H53-1,0)</f>
        <v>0.116279069767442</v>
      </c>
      <c r="P53" s="7" t="str">
        <f aca="false">IF(K53&gt;=PCC_L1,"Layer 01",IF(K53&gt;=PCC_L2,"Layer 02",IF(K53&gt;=PCC_L3,"Layer 03",IF(K53&gt;=PCC_L4,"Layer 04","Layer 05"))))</f>
        <v>Layer 05</v>
      </c>
      <c r="Q53" s="7" t="str">
        <f aca="false">IF(L53&gt;=PPO_L1,"Layer 01",IF(L53&gt;=PPO_L2,"Layer 02",IF(L53&gt;=PPO_L3,"Layer 03",IF(L53&gt;=PPO_L4,"Layer 04","Layer 05"))))</f>
        <v>Layer 03</v>
      </c>
      <c r="R53" s="29" t="n">
        <f aca="false">D53/IdealPPO-E53</f>
        <v>273.372</v>
      </c>
      <c r="S53" s="29" t="n">
        <f aca="false">IdealTP*Weeks-(Weeks*J53+FirstFill)</f>
        <v>287.85</v>
      </c>
      <c r="T53" s="29" t="n">
        <f aca="false">IF(S53&gt;0,(F53-IdealTP*Weeks*E53)/S53,1000000000000)</f>
        <v>-20.2084418968213</v>
      </c>
      <c r="U53" s="27" t="n">
        <f aca="false">IF(E53&lt;=0,0,IF(G53&lt;=IdealTP,0,IF(L53&lt;=IdealPPO,0,INT(MIN(T53,R53)+0.000000001))))</f>
        <v>0</v>
      </c>
      <c r="V53" s="7" t="str">
        <f aca="false">IF(E53&lt;=0,"No current outlets",IF(G53&lt;=IdealTP,"TP already at or below ideal",IF(L53&lt;=IdealPPO,"PPO already at or below ideal",IF(T53&lt;=R53,"Stopped by TP reaching ideal","Stopped by PPO reaching ideal"))))</f>
        <v>TP already at or below ideal</v>
      </c>
      <c r="W53" s="30" t="n">
        <f aca="false">F53+U53*(Weeks*J53+FirstFill)</f>
        <v>31623</v>
      </c>
      <c r="X53" s="30" t="n">
        <f aca="false">E53+U53</f>
        <v>48</v>
      </c>
      <c r="Y53" s="24" t="n">
        <f aca="false">IFERROR(W53/(X53*Weeks),0)</f>
        <v>12.6694711538462</v>
      </c>
      <c r="Z53" s="30" t="n">
        <f aca="false">IFERROR(D53/X53,0)</f>
        <v>5021.4375</v>
      </c>
      <c r="AA53" s="7" t="str">
        <f aca="false">IF(AND(K53&gt;=NationalPCC,L53&gt;IdealPPO),"Q1: High PCC, High PPO",IF(K53&gt;=NationalPCC,"Q2: High PCC, Low PPO",IF(L53&gt;IdealPPO,"Q3: Low PCC, High PPO","Q4: Low PCC, Low PPO")))</f>
        <v>Q3: Low PCC, High PPO</v>
      </c>
      <c r="AB53" s="7" t="str">
        <f aca="false">IF(K53&gt;=NationalPCC,IF(L53&gt;IdealPPO,"Phase 1","Phase 2"),"Phase 3")</f>
        <v>Phase 3</v>
      </c>
      <c r="AC53" s="7" t="str">
        <f aca="false">IF(AND(G53&gt;IdealTP,L53&gt;IdealPPO),"High TP, High PPO",IF(G53&gt;IdealTP,"High TP, Low PPO",IF(L53&gt;IdealPPO,"Low TP, High PPO","Low TP, Low PPO")))</f>
        <v>Low TP, High PPO</v>
      </c>
      <c r="AD53" s="31" t="n">
        <f aca="false">INDEX(WaveNumbers,MATCH(C53,WaveNames,0))</f>
        <v>2</v>
      </c>
      <c r="AE53" s="32" t="str">
        <f aca="false">IF(U53&gt;0,AD53*10000000+VALUE(RIGHT(AB53,1))*1000000+(1000000-U53)+ROW()/1000000,"")</f>
        <v/>
      </c>
      <c r="AF53" s="31" t="str">
        <f aca="false">IF(U53&gt;0,COUNTIFS($AE$5:$AE$119,"&lt;"&amp;AE53)+1,"")</f>
        <v/>
      </c>
      <c r="AG53" s="7" t="str">
        <f aca="false">IF(AF53="","No",IF(AF53&lt;=TopN,"Yes","No"))</f>
        <v>No</v>
      </c>
      <c r="AH53" s="30" t="n">
        <f aca="false">INT('District Data'!O53*ConvRate)</f>
        <v>22</v>
      </c>
      <c r="AI53" s="27" t="n">
        <f aca="false">MIN(U53,AH53)</f>
        <v>0</v>
      </c>
      <c r="AJ53" s="7" t="str">
        <f aca="false">IF(U53=0,"No expansion",IF(AH53&lt;U53,"Supply constrained (not enough shops)","Demand constrained (enough shops)"))</f>
        <v>No expansion</v>
      </c>
      <c r="AK53" s="30" t="n">
        <f aca="false">IF(AG53="Yes",AI53,0)</f>
        <v>0</v>
      </c>
      <c r="AL53" s="26" t="n">
        <f aca="false">IF(AG53="Yes",IF(Budget1&gt;=ShortlistFinal,AK53,AK53/ShortlistFinal*Budget1),0)</f>
        <v>0</v>
      </c>
      <c r="AM53" s="30" t="n">
        <f aca="false">INT(AL53)</f>
        <v>0</v>
      </c>
      <c r="AN53" s="26" t="n">
        <f aca="false">IF(AND(AG53="Yes",Budget1&lt;ShortlistFinal),AL53-AM53,-1)</f>
        <v>-1</v>
      </c>
      <c r="AO53" s="27" t="n">
        <f aca="false">IF(AG53&lt;&gt;"Yes",0,IF(Budget1&gt;=ShortlistFinal,AK53,AM53+IF(COUNTIFS($AN$5:$AN$119,"&gt;"&amp;AN53)+COUNTIFS($AN$5:$AN$119,AN53,$AF$5:$AF$119,"&lt;"&amp;AF53)&lt;Budget1-SUM($AM$5:$AM$119),1,0)))</f>
        <v>0</v>
      </c>
      <c r="AP53" s="26" t="n">
        <f aca="false">IF(AG53="Yes",IF(Budget2&gt;=ShortlistFinal,AK53,AK53/ShortlistFinal*Budget2),0)</f>
        <v>0</v>
      </c>
      <c r="AQ53" s="30" t="n">
        <f aca="false">INT(AP53)</f>
        <v>0</v>
      </c>
      <c r="AR53" s="26" t="n">
        <f aca="false">IF(AND(AG53="Yes",Budget2&lt;ShortlistFinal),AP53-AQ53,-1)</f>
        <v>-1</v>
      </c>
      <c r="AS53" s="27" t="n">
        <f aca="false">IF(AG53&lt;&gt;"Yes",0,IF(Budget2&gt;=ShortlistFinal,AK53,AQ53+IF(COUNTIFS($AR$5:$AR$119,"&gt;"&amp;AR53)+COUNTIFS($AR$5:$AR$119,AR53,$AF$5:$AF$119,"&lt;"&amp;AF53)&lt;Budget2-SUM($AQ$5:$AQ$119),1,0)))</f>
        <v>0</v>
      </c>
      <c r="AT53" s="26" t="n">
        <f aca="false">AK53*Share2025</f>
        <v>0</v>
      </c>
      <c r="AU53" s="26" t="n">
        <f aca="false">AK53*Share2026</f>
        <v>0</v>
      </c>
      <c r="AV53" s="26" t="n">
        <f aca="false">AK53*Share2027</f>
        <v>0</v>
      </c>
      <c r="AW53" s="31" t="n">
        <f aca="false">INT(AT53)</f>
        <v>0</v>
      </c>
      <c r="AX53" s="31" t="n">
        <f aca="false">INT(AU53)</f>
        <v>0</v>
      </c>
      <c r="AY53" s="31" t="n">
        <f aca="false">INT(AV53)</f>
        <v>0</v>
      </c>
      <c r="AZ53" s="26" t="n">
        <f aca="false">AT53-AW53</f>
        <v>0</v>
      </c>
      <c r="BA53" s="26" t="n">
        <f aca="false">AU53-AX53</f>
        <v>0</v>
      </c>
      <c r="BB53" s="26" t="n">
        <f aca="false">AV53-AY53</f>
        <v>0</v>
      </c>
      <c r="BC53" s="31" t="n">
        <f aca="false">AK53-AW53-AX53-AY53</f>
        <v>0</v>
      </c>
      <c r="BD53" s="27" t="n">
        <f aca="false">AW53+IF((BA53&gt;AZ53)+(BB53&gt;AZ53)&lt;BC53,1,0)</f>
        <v>0</v>
      </c>
      <c r="BE53" s="27" t="n">
        <f aca="false">AX53+IF((AZ53&gt;BA53)+(BB53&gt;BA53)+(AZ53=BA53)&lt;BC53,1,0)</f>
        <v>0</v>
      </c>
      <c r="BF53" s="27" t="n">
        <f aca="false">AY53+IF((AZ53&gt;BB53)+(BA53&gt;BB53)+(AZ53=BB53)+(BA53=BB53)&lt;BC53,1,0)</f>
        <v>0</v>
      </c>
    </row>
    <row r="54" customFormat="false" ht="15" hidden="false" customHeight="false" outlineLevel="0" collapsed="false">
      <c r="A54" s="22" t="str">
        <f aca="false">'District Data'!A54</f>
        <v>Kohat</v>
      </c>
      <c r="B54" s="22" t="str">
        <f aca="false">'District Data'!C54</f>
        <v>Peshawar Region</v>
      </c>
      <c r="C54" s="22" t="str">
        <f aca="false">'District Data'!D54</f>
        <v>Neighbouring</v>
      </c>
      <c r="D54" s="23" t="n">
        <f aca="false">ROUND('District Data'!E54*'District Data'!F54,0)</f>
        <v>286485</v>
      </c>
      <c r="E54" s="23" t="n">
        <f aca="false">'District Data'!I54</f>
        <v>86</v>
      </c>
      <c r="F54" s="23" t="n">
        <f aca="false">'District Data'!L54</f>
        <v>60242.4</v>
      </c>
      <c r="G54" s="24" t="n">
        <f aca="false">IFERROR(F54/(E54*Weeks),0)</f>
        <v>13.4710196779964</v>
      </c>
      <c r="H54" s="25" t="n">
        <f aca="false">IFERROR('District Data'!N54/('District Data'!M54*Weeks),0)</f>
        <v>10.7168269230769</v>
      </c>
      <c r="I54" s="24" t="n">
        <f aca="false">IFERROR(SUMIFS('District Data'!$N$5:$N$119,'District Data'!$C$5:$C$119,B54)/(SUMIFS('District Data'!$M$5:$M$119,'District Data'!$C$5:$C$119,B54)*Weeks),0)</f>
        <v>7.60397053195561</v>
      </c>
      <c r="J54" s="24" t="n">
        <f aca="false">IF(TPBasis="NI TP",IF(H54&gt;0,H54,I54),G54)</f>
        <v>10.7168269230769</v>
      </c>
      <c r="K54" s="26" t="n">
        <f aca="false">IFERROR(F54/D54,0)</f>
        <v>0.210281166553223</v>
      </c>
      <c r="L54" s="27" t="n">
        <f aca="false">IFERROR(D54/E54,0)</f>
        <v>3331.22093023256</v>
      </c>
      <c r="M54" s="28" t="n">
        <f aca="false">IFERROR('District Data'!L54/'District Data'!K54-1,0)</f>
        <v>-0.0339839997947458</v>
      </c>
      <c r="N54" s="28" t="n">
        <f aca="false">IFERROR(('District Data'!L54/'District Data'!J54)^(1/2)-1,0)</f>
        <v>-0.0178890058148362</v>
      </c>
      <c r="O54" s="28" t="n">
        <f aca="false">IFERROR('District Data'!I54/'District Data'!H54-1,0)</f>
        <v>0.0487804878048781</v>
      </c>
      <c r="P54" s="7" t="str">
        <f aca="false">IF(K54&gt;=PCC_L1,"Layer 01",IF(K54&gt;=PCC_L2,"Layer 02",IF(K54&gt;=PCC_L3,"Layer 03",IF(K54&gt;=PCC_L4,"Layer 04","Layer 05"))))</f>
        <v>Layer 04</v>
      </c>
      <c r="Q54" s="7" t="str">
        <f aca="false">IF(L54&gt;=PPO_L1,"Layer 01",IF(L54&gt;=PPO_L2,"Layer 02",IF(L54&gt;=PPO_L3,"Layer 03",IF(L54&gt;=PPO_L4,"Layer 04","Layer 05"))))</f>
        <v>Layer 04</v>
      </c>
      <c r="R54" s="29" t="n">
        <f aca="false">D54/IdealPPO-E54</f>
        <v>295.98</v>
      </c>
      <c r="S54" s="29" t="n">
        <f aca="false">IdealTP*Weeks-(Weeks*J54+FirstFill)</f>
        <v>142.725</v>
      </c>
      <c r="T54" s="29" t="n">
        <f aca="false">IF(S54&gt;0,(F54-IdealTP*Weeks*E54)/S54,1000000000000)</f>
        <v>-47.907514450867</v>
      </c>
      <c r="U54" s="27" t="n">
        <f aca="false">IF(E54&lt;=0,0,IF(G54&lt;=IdealTP,0,IF(L54&lt;=IdealPPO,0,INT(MIN(T54,R54)+0.000000001))))</f>
        <v>0</v>
      </c>
      <c r="V54" s="7" t="str">
        <f aca="false">IF(E54&lt;=0,"No current outlets",IF(G54&lt;=IdealTP,"TP already at or below ideal",IF(L54&lt;=IdealPPO,"PPO already at or below ideal",IF(T54&lt;=R54,"Stopped by TP reaching ideal","Stopped by PPO reaching ideal"))))</f>
        <v>TP already at or below ideal</v>
      </c>
      <c r="W54" s="30" t="n">
        <f aca="false">F54+U54*(Weeks*J54+FirstFill)</f>
        <v>60242.4</v>
      </c>
      <c r="X54" s="30" t="n">
        <f aca="false">E54+U54</f>
        <v>86</v>
      </c>
      <c r="Y54" s="24" t="n">
        <f aca="false">IFERROR(W54/(X54*Weeks),0)</f>
        <v>13.4710196779964</v>
      </c>
      <c r="Z54" s="30" t="n">
        <f aca="false">IFERROR(D54/X54,0)</f>
        <v>3331.22093023256</v>
      </c>
      <c r="AA54" s="7" t="str">
        <f aca="false">IF(AND(K54&gt;=NationalPCC,L54&gt;IdealPPO),"Q1: High PCC, High PPO",IF(K54&gt;=NationalPCC,"Q2: High PCC, Low PPO",IF(L54&gt;IdealPPO,"Q3: Low PCC, High PPO","Q4: Low PCC, Low PPO")))</f>
        <v>Q3: Low PCC, High PPO</v>
      </c>
      <c r="AB54" s="7" t="str">
        <f aca="false">IF(K54&gt;=NationalPCC,IF(L54&gt;IdealPPO,"Phase 1","Phase 2"),"Phase 3")</f>
        <v>Phase 3</v>
      </c>
      <c r="AC54" s="7" t="str">
        <f aca="false">IF(AND(G54&gt;IdealTP,L54&gt;IdealPPO),"High TP, High PPO",IF(G54&gt;IdealTP,"High TP, Low PPO",IF(L54&gt;IdealPPO,"Low TP, High PPO","Low TP, Low PPO")))</f>
        <v>Low TP, High PPO</v>
      </c>
      <c r="AD54" s="31" t="n">
        <f aca="false">INDEX(WaveNumbers,MATCH(C54,WaveNames,0))</f>
        <v>2</v>
      </c>
      <c r="AE54" s="32" t="str">
        <f aca="false">IF(U54&gt;0,AD54*10000000+VALUE(RIGHT(AB54,1))*1000000+(1000000-U54)+ROW()/1000000,"")</f>
        <v/>
      </c>
      <c r="AF54" s="31" t="str">
        <f aca="false">IF(U54&gt;0,COUNTIFS($AE$5:$AE$119,"&lt;"&amp;AE54)+1,"")</f>
        <v/>
      </c>
      <c r="AG54" s="7" t="str">
        <f aca="false">IF(AF54="","No",IF(AF54&lt;=TopN,"Yes","No"))</f>
        <v>No</v>
      </c>
      <c r="AH54" s="30" t="n">
        <f aca="false">INT('District Data'!O54*ConvRate)</f>
        <v>28</v>
      </c>
      <c r="AI54" s="27" t="n">
        <f aca="false">MIN(U54,AH54)</f>
        <v>0</v>
      </c>
      <c r="AJ54" s="7" t="str">
        <f aca="false">IF(U54=0,"No expansion",IF(AH54&lt;U54,"Supply constrained (not enough shops)","Demand constrained (enough shops)"))</f>
        <v>No expansion</v>
      </c>
      <c r="AK54" s="30" t="n">
        <f aca="false">IF(AG54="Yes",AI54,0)</f>
        <v>0</v>
      </c>
      <c r="AL54" s="26" t="n">
        <f aca="false">IF(AG54="Yes",IF(Budget1&gt;=ShortlistFinal,AK54,AK54/ShortlistFinal*Budget1),0)</f>
        <v>0</v>
      </c>
      <c r="AM54" s="30" t="n">
        <f aca="false">INT(AL54)</f>
        <v>0</v>
      </c>
      <c r="AN54" s="26" t="n">
        <f aca="false">IF(AND(AG54="Yes",Budget1&lt;ShortlistFinal),AL54-AM54,-1)</f>
        <v>-1</v>
      </c>
      <c r="AO54" s="27" t="n">
        <f aca="false">IF(AG54&lt;&gt;"Yes",0,IF(Budget1&gt;=ShortlistFinal,AK54,AM54+IF(COUNTIFS($AN$5:$AN$119,"&gt;"&amp;AN54)+COUNTIFS($AN$5:$AN$119,AN54,$AF$5:$AF$119,"&lt;"&amp;AF54)&lt;Budget1-SUM($AM$5:$AM$119),1,0)))</f>
        <v>0</v>
      </c>
      <c r="AP54" s="26" t="n">
        <f aca="false">IF(AG54="Yes",IF(Budget2&gt;=ShortlistFinal,AK54,AK54/ShortlistFinal*Budget2),0)</f>
        <v>0</v>
      </c>
      <c r="AQ54" s="30" t="n">
        <f aca="false">INT(AP54)</f>
        <v>0</v>
      </c>
      <c r="AR54" s="26" t="n">
        <f aca="false">IF(AND(AG54="Yes",Budget2&lt;ShortlistFinal),AP54-AQ54,-1)</f>
        <v>-1</v>
      </c>
      <c r="AS54" s="27" t="n">
        <f aca="false">IF(AG54&lt;&gt;"Yes",0,IF(Budget2&gt;=ShortlistFinal,AK54,AQ54+IF(COUNTIFS($AR$5:$AR$119,"&gt;"&amp;AR54)+COUNTIFS($AR$5:$AR$119,AR54,$AF$5:$AF$119,"&lt;"&amp;AF54)&lt;Budget2-SUM($AQ$5:$AQ$119),1,0)))</f>
        <v>0</v>
      </c>
      <c r="AT54" s="26" t="n">
        <f aca="false">AK54*Share2025</f>
        <v>0</v>
      </c>
      <c r="AU54" s="26" t="n">
        <f aca="false">AK54*Share2026</f>
        <v>0</v>
      </c>
      <c r="AV54" s="26" t="n">
        <f aca="false">AK54*Share2027</f>
        <v>0</v>
      </c>
      <c r="AW54" s="31" t="n">
        <f aca="false">INT(AT54)</f>
        <v>0</v>
      </c>
      <c r="AX54" s="31" t="n">
        <f aca="false">INT(AU54)</f>
        <v>0</v>
      </c>
      <c r="AY54" s="31" t="n">
        <f aca="false">INT(AV54)</f>
        <v>0</v>
      </c>
      <c r="AZ54" s="26" t="n">
        <f aca="false">AT54-AW54</f>
        <v>0</v>
      </c>
      <c r="BA54" s="26" t="n">
        <f aca="false">AU54-AX54</f>
        <v>0</v>
      </c>
      <c r="BB54" s="26" t="n">
        <f aca="false">AV54-AY54</f>
        <v>0</v>
      </c>
      <c r="BC54" s="31" t="n">
        <f aca="false">AK54-AW54-AX54-AY54</f>
        <v>0</v>
      </c>
      <c r="BD54" s="27" t="n">
        <f aca="false">AW54+IF((BA54&gt;AZ54)+(BB54&gt;AZ54)&lt;BC54,1,0)</f>
        <v>0</v>
      </c>
      <c r="BE54" s="27" t="n">
        <f aca="false">AX54+IF((AZ54&gt;BA54)+(BB54&gt;BA54)+(AZ54=BA54)&lt;BC54,1,0)</f>
        <v>0</v>
      </c>
      <c r="BF54" s="27" t="n">
        <f aca="false">AY54+IF((AZ54&gt;BB54)+(BA54&gt;BB54)+(AZ54=BB54)+(BA54=BB54)&lt;BC54,1,0)</f>
        <v>0</v>
      </c>
    </row>
    <row r="55" customFormat="false" ht="15" hidden="false" customHeight="false" outlineLevel="0" collapsed="false">
      <c r="A55" s="22" t="str">
        <f aca="false">'District Data'!A55</f>
        <v>Kohistan</v>
      </c>
      <c r="B55" s="22" t="str">
        <f aca="false">'District Data'!C55</f>
        <v>Islamabad Region</v>
      </c>
      <c r="C55" s="22" t="str">
        <f aca="false">'District Data'!D55</f>
        <v>Rest</v>
      </c>
      <c r="D55" s="23" t="n">
        <f aca="false">ROUND('District Data'!E55*'District Data'!F55,0)</f>
        <v>117038</v>
      </c>
      <c r="E55" s="23" t="n">
        <f aca="false">'District Data'!I55</f>
        <v>12</v>
      </c>
      <c r="F55" s="23" t="n">
        <f aca="false">'District Data'!L55</f>
        <v>11703.7</v>
      </c>
      <c r="G55" s="24" t="n">
        <f aca="false">IFERROR(F55/(E55*Weeks),0)</f>
        <v>18.7559294871795</v>
      </c>
      <c r="H55" s="25" t="n">
        <f aca="false">IFERROR('District Data'!N55/('District Data'!M55*Weeks),0)</f>
        <v>0</v>
      </c>
      <c r="I55" s="24" t="n">
        <f aca="false">IFERROR(SUMIFS('District Data'!$N$5:$N$119,'District Data'!$C$5:$C$119,B55)/(SUMIFS('District Data'!$M$5:$M$119,'District Data'!$C$5:$C$119,B55)*Weeks),0)</f>
        <v>8.40311578665237</v>
      </c>
      <c r="J55" s="24" t="n">
        <f aca="false">IF(TPBasis="NI TP",IF(H55&gt;0,H55,I55),G55)</f>
        <v>8.40311578665237</v>
      </c>
      <c r="K55" s="26" t="n">
        <f aca="false">IFERROR(F55/D55,0)</f>
        <v>0.0999991455766503</v>
      </c>
      <c r="L55" s="27" t="n">
        <f aca="false">IFERROR(D55/E55,0)</f>
        <v>9753.16666666667</v>
      </c>
      <c r="M55" s="28" t="n">
        <f aca="false">IFERROR('District Data'!L55/'District Data'!K55-1,0)</f>
        <v>-0.0438856620019769</v>
      </c>
      <c r="N55" s="28" t="n">
        <f aca="false">IFERROR(('District Data'!L55/'District Data'!J55)^(1/2)-1,0)</f>
        <v>-0.0421386870045307</v>
      </c>
      <c r="O55" s="28" t="n">
        <f aca="false">IFERROR('District Data'!I55/'District Data'!H55-1,0)</f>
        <v>0</v>
      </c>
      <c r="P55" s="7" t="str">
        <f aca="false">IF(K55&gt;=PCC_L1,"Layer 01",IF(K55&gt;=PCC_L2,"Layer 02",IF(K55&gt;=PCC_L3,"Layer 03",IF(K55&gt;=PCC_L4,"Layer 04","Layer 05"))))</f>
        <v>Layer 05</v>
      </c>
      <c r="Q55" s="7" t="str">
        <f aca="false">IF(L55&gt;=PPO_L1,"Layer 01",IF(L55&gt;=PPO_L2,"Layer 02",IF(L55&gt;=PPO_L3,"Layer 03",IF(L55&gt;=PPO_L4,"Layer 04","Layer 05"))))</f>
        <v>Layer 03</v>
      </c>
      <c r="R55" s="29" t="n">
        <f aca="false">D55/IdealPPO-E55</f>
        <v>144.050666666667</v>
      </c>
      <c r="S55" s="29" t="n">
        <f aca="false">IdealTP*Weeks-(Weeks*J55+FirstFill)</f>
        <v>263.037979094077</v>
      </c>
      <c r="T55" s="29" t="n">
        <f aca="false">IF(S55&gt;0,(F55-IdealTP*Weeks*E55)/S55,1000000000000)</f>
        <v>8.91012015858656</v>
      </c>
      <c r="U55" s="27" t="n">
        <f aca="false">IF(E55&lt;=0,0,IF(G55&lt;=IdealTP,0,IF(L55&lt;=IdealPPO,0,INT(MIN(T55,R55)+0.000000001))))</f>
        <v>8</v>
      </c>
      <c r="V55" s="7" t="str">
        <f aca="false">IF(E55&lt;=0,"No current outlets",IF(G55&lt;=IdealTP,"TP already at or below ideal",IF(L55&lt;=IdealPPO,"PPO already at or below ideal",IF(T55&lt;=R55,"Stopped by TP reaching ideal","Stopped by PPO reaching ideal"))))</f>
        <v>Stopped by TP reaching ideal</v>
      </c>
      <c r="W55" s="30" t="n">
        <f aca="false">F55+U55*(Weeks*J55+FirstFill)</f>
        <v>15839.3961672474</v>
      </c>
      <c r="X55" s="30" t="n">
        <f aca="false">E55+U55</f>
        <v>20</v>
      </c>
      <c r="Y55" s="24" t="n">
        <f aca="false">IFERROR(W55/(X55*Weeks),0)</f>
        <v>15.2301886223533</v>
      </c>
      <c r="Z55" s="30" t="n">
        <f aca="false">IFERROR(D55/X55,0)</f>
        <v>5851.9</v>
      </c>
      <c r="AA55" s="7" t="str">
        <f aca="false">IF(AND(K55&gt;=NationalPCC,L55&gt;IdealPPO),"Q1: High PCC, High PPO",IF(K55&gt;=NationalPCC,"Q2: High PCC, Low PPO",IF(L55&gt;IdealPPO,"Q3: Low PCC, High PPO","Q4: Low PCC, Low PPO")))</f>
        <v>Q3: Low PCC, High PPO</v>
      </c>
      <c r="AB55" s="7" t="str">
        <f aca="false">IF(K55&gt;=NationalPCC,IF(L55&gt;IdealPPO,"Phase 1","Phase 2"),"Phase 3")</f>
        <v>Phase 3</v>
      </c>
      <c r="AC55" s="7" t="str">
        <f aca="false">IF(AND(G55&gt;IdealTP,L55&gt;IdealPPO),"High TP, High PPO",IF(G55&gt;IdealTP,"High TP, Low PPO",IF(L55&gt;IdealPPO,"Low TP, High PPO","Low TP, Low PPO")))</f>
        <v>High TP, High PPO</v>
      </c>
      <c r="AD55" s="31" t="n">
        <f aca="false">INDEX(WaveNumbers,MATCH(C55,WaveNames,0))</f>
        <v>4</v>
      </c>
      <c r="AE55" s="32" t="n">
        <f aca="false">IF(U55&gt;0,AD55*10000000+VALUE(RIGHT(AB55,1))*1000000+(1000000-U55)+ROW()/1000000,"")</f>
        <v>43999992.000055</v>
      </c>
      <c r="AF55" s="31" t="n">
        <f aca="false">IF(U55&gt;0,COUNTIFS($AE$5:$AE$119,"&lt;"&amp;AE55)+1,"")</f>
        <v>41</v>
      </c>
      <c r="AG55" s="7" t="str">
        <f aca="false">IF(AF55="","No",IF(AF55&lt;=TopN,"Yes","No"))</f>
        <v>Yes</v>
      </c>
      <c r="AH55" s="30" t="n">
        <f aca="false">INT('District Data'!O55*ConvRate)</f>
        <v>2</v>
      </c>
      <c r="AI55" s="27" t="n">
        <f aca="false">MIN(U55,AH55)</f>
        <v>2</v>
      </c>
      <c r="AJ55" s="7" t="str">
        <f aca="false">IF(U55=0,"No expansion",IF(AH55&lt;U55,"Supply constrained (not enough shops)","Demand constrained (enough shops)"))</f>
        <v>Supply constrained (not enough shops)</v>
      </c>
      <c r="AK55" s="30" t="n">
        <f aca="false">IF(AG55="Yes",AI55,0)</f>
        <v>2</v>
      </c>
      <c r="AL55" s="26" t="n">
        <f aca="false">IF(AG55="Yes",IF(Budget1&gt;=ShortlistFinal,AK55,AK55/ShortlistFinal*Budget1),0)</f>
        <v>1.18255728011826</v>
      </c>
      <c r="AM55" s="30" t="n">
        <f aca="false">INT(AL55)</f>
        <v>1</v>
      </c>
      <c r="AN55" s="26" t="n">
        <f aca="false">IF(AND(AG55="Yes",Budget1&lt;ShortlistFinal),AL55-AM55,-1)</f>
        <v>0.182557280118256</v>
      </c>
      <c r="AO55" s="27" t="n">
        <f aca="false">IF(AG55&lt;&gt;"Yes",0,IF(Budget1&gt;=ShortlistFinal,AK55,AM55+IF(COUNTIFS($AN$5:$AN$119,"&gt;"&amp;AN55)+COUNTIFS($AN$5:$AN$119,AN55,$AF$5:$AF$119,"&lt;"&amp;AF55)&lt;Budget1-SUM($AM$5:$AM$119),1,0)))</f>
        <v>1</v>
      </c>
      <c r="AP55" s="26" t="n">
        <f aca="false">IF(AG55="Yes",IF(Budget2&gt;=ShortlistFinal,AK55,AK55/ShortlistFinal*Budget2),0)</f>
        <v>1.77383592017738</v>
      </c>
      <c r="AQ55" s="30" t="n">
        <f aca="false">INT(AP55)</f>
        <v>1</v>
      </c>
      <c r="AR55" s="26" t="n">
        <f aca="false">IF(AND(AG55="Yes",Budget2&lt;ShortlistFinal),AP55-AQ55,-1)</f>
        <v>0.773835920177384</v>
      </c>
      <c r="AS55" s="27" t="n">
        <f aca="false">IF(AG55&lt;&gt;"Yes",0,IF(Budget2&gt;=ShortlistFinal,AK55,AQ55+IF(COUNTIFS($AR$5:$AR$119,"&gt;"&amp;AR55)+COUNTIFS($AR$5:$AR$119,AR55,$AF$5:$AF$119,"&lt;"&amp;AF55)&lt;Budget2-SUM($AQ$5:$AQ$119),1,0)))</f>
        <v>2</v>
      </c>
      <c r="AT55" s="26" t="n">
        <f aca="false">AK55*Share2025</f>
        <v>0.705882352941177</v>
      </c>
      <c r="AU55" s="26" t="n">
        <f aca="false">AK55*Share2026</f>
        <v>0.705882352941177</v>
      </c>
      <c r="AV55" s="26" t="n">
        <f aca="false">AK55*Share2027</f>
        <v>0.588235294117647</v>
      </c>
      <c r="AW55" s="31" t="n">
        <f aca="false">INT(AT55)</f>
        <v>0</v>
      </c>
      <c r="AX55" s="31" t="n">
        <f aca="false">INT(AU55)</f>
        <v>0</v>
      </c>
      <c r="AY55" s="31" t="n">
        <f aca="false">INT(AV55)</f>
        <v>0</v>
      </c>
      <c r="AZ55" s="26" t="n">
        <f aca="false">AT55-AW55</f>
        <v>0.705882352941177</v>
      </c>
      <c r="BA55" s="26" t="n">
        <f aca="false">AU55-AX55</f>
        <v>0.705882352941177</v>
      </c>
      <c r="BB55" s="26" t="n">
        <f aca="false">AV55-AY55</f>
        <v>0.588235294117647</v>
      </c>
      <c r="BC55" s="31" t="n">
        <f aca="false">AK55-AW55-AX55-AY55</f>
        <v>2</v>
      </c>
      <c r="BD55" s="27" t="n">
        <f aca="false">AW55+IF((BA55&gt;AZ55)+(BB55&gt;AZ55)&lt;BC55,1,0)</f>
        <v>1</v>
      </c>
      <c r="BE55" s="27" t="n">
        <f aca="false">AX55+IF((AZ55&gt;BA55)+(BB55&gt;BA55)+(AZ55=BA55)&lt;BC55,1,0)</f>
        <v>1</v>
      </c>
      <c r="BF55" s="27" t="n">
        <f aca="false">AY55+IF((AZ55&gt;BB55)+(BA55&gt;BB55)+(AZ55=BB55)+(BA55=BB55)&lt;BC55,1,0)</f>
        <v>0</v>
      </c>
    </row>
    <row r="56" customFormat="false" ht="15" hidden="false" customHeight="false" outlineLevel="0" collapsed="false">
      <c r="A56" s="22" t="str">
        <f aca="false">'District Data'!A56</f>
        <v>Kohlu</v>
      </c>
      <c r="B56" s="22" t="str">
        <f aca="false">'District Data'!C56</f>
        <v>Multan Region</v>
      </c>
      <c r="C56" s="22" t="str">
        <f aca="false">'District Data'!D56</f>
        <v>Rest</v>
      </c>
      <c r="D56" s="23" t="n">
        <f aca="false">ROUND('District Data'!E56*'District Data'!F56,0)</f>
        <v>38177</v>
      </c>
      <c r="E56" s="23" t="n">
        <f aca="false">'District Data'!I56</f>
        <v>4</v>
      </c>
      <c r="F56" s="23" t="n">
        <f aca="false">'District Data'!L56</f>
        <v>2726</v>
      </c>
      <c r="G56" s="24" t="n">
        <f aca="false">IFERROR(F56/(E56*Weeks),0)</f>
        <v>13.1057692307692</v>
      </c>
      <c r="H56" s="25" t="n">
        <f aca="false">IFERROR('District Data'!N56/('District Data'!M56*Weeks),0)</f>
        <v>3.24615384615385</v>
      </c>
      <c r="I56" s="24" t="n">
        <f aca="false">IFERROR(SUMIFS('District Data'!$N$5:$N$119,'District Data'!$C$5:$C$119,B56)/(SUMIFS('District Data'!$M$5:$M$119,'District Data'!$C$5:$C$119,B56)*Weeks),0)</f>
        <v>8.16663285109386</v>
      </c>
      <c r="J56" s="24" t="n">
        <f aca="false">IF(TPBasis="NI TP",IF(H56&gt;0,H56,I56),G56)</f>
        <v>3.24615384615385</v>
      </c>
      <c r="K56" s="26" t="n">
        <f aca="false">IFERROR(F56/D56,0)</f>
        <v>0.0714042486313749</v>
      </c>
      <c r="L56" s="27" t="n">
        <f aca="false">IFERROR(D56/E56,0)</f>
        <v>9544.25</v>
      </c>
      <c r="M56" s="28" t="n">
        <f aca="false">IFERROR('District Data'!L56/'District Data'!K56-1,0)</f>
        <v>-0.0156712645338341</v>
      </c>
      <c r="N56" s="28" t="n">
        <f aca="false">IFERROR(('District Data'!L56/'District Data'!J56)^(1/2)-1,0)</f>
        <v>-0.046632787216117</v>
      </c>
      <c r="O56" s="28" t="n">
        <f aca="false">IFERROR('District Data'!I56/'District Data'!H56-1,0)</f>
        <v>0.333333333333333</v>
      </c>
      <c r="P56" s="7" t="str">
        <f aca="false">IF(K56&gt;=PCC_L1,"Layer 01",IF(K56&gt;=PCC_L2,"Layer 02",IF(K56&gt;=PCC_L3,"Layer 03",IF(K56&gt;=PCC_L4,"Layer 04","Layer 05"))))</f>
        <v>Layer 05</v>
      </c>
      <c r="Q56" s="7" t="str">
        <f aca="false">IF(L56&gt;=PPO_L1,"Layer 01",IF(L56&gt;=PPO_L2,"Layer 02",IF(L56&gt;=PPO_L3,"Layer 03",IF(L56&gt;=PPO_L4,"Layer 04","Layer 05"))))</f>
        <v>Layer 03</v>
      </c>
      <c r="R56" s="29" t="n">
        <f aca="false">D56/IdealPPO-E56</f>
        <v>46.9026666666667</v>
      </c>
      <c r="S56" s="29" t="n">
        <f aca="false">IdealTP*Weeks-(Weeks*J56+FirstFill)</f>
        <v>531.2</v>
      </c>
      <c r="T56" s="29" t="n">
        <f aca="false">IF(S56&gt;0,(F56-IdealTP*Weeks*E56)/S56,1000000000000)</f>
        <v>-0.741716867469879</v>
      </c>
      <c r="U56" s="27" t="n">
        <f aca="false">IF(E56&lt;=0,0,IF(G56&lt;=IdealTP,0,IF(L56&lt;=IdealPPO,0,INT(MIN(T56,R56)+0.000000001))))</f>
        <v>0</v>
      </c>
      <c r="V56" s="7" t="str">
        <f aca="false">IF(E56&lt;=0,"No current outlets",IF(G56&lt;=IdealTP,"TP already at or below ideal",IF(L56&lt;=IdealPPO,"PPO already at or below ideal",IF(T56&lt;=R56,"Stopped by TP reaching ideal","Stopped by PPO reaching ideal"))))</f>
        <v>TP already at or below ideal</v>
      </c>
      <c r="W56" s="30" t="n">
        <f aca="false">F56+U56*(Weeks*J56+FirstFill)</f>
        <v>2726</v>
      </c>
      <c r="X56" s="30" t="n">
        <f aca="false">E56+U56</f>
        <v>4</v>
      </c>
      <c r="Y56" s="24" t="n">
        <f aca="false">IFERROR(W56/(X56*Weeks),0)</f>
        <v>13.1057692307692</v>
      </c>
      <c r="Z56" s="30" t="n">
        <f aca="false">IFERROR(D56/X56,0)</f>
        <v>9544.25</v>
      </c>
      <c r="AA56" s="7" t="str">
        <f aca="false">IF(AND(K56&gt;=NationalPCC,L56&gt;IdealPPO),"Q1: High PCC, High PPO",IF(K56&gt;=NationalPCC,"Q2: High PCC, Low PPO",IF(L56&gt;IdealPPO,"Q3: Low PCC, High PPO","Q4: Low PCC, Low PPO")))</f>
        <v>Q3: Low PCC, High PPO</v>
      </c>
      <c r="AB56" s="7" t="str">
        <f aca="false">IF(K56&gt;=NationalPCC,IF(L56&gt;IdealPPO,"Phase 1","Phase 2"),"Phase 3")</f>
        <v>Phase 3</v>
      </c>
      <c r="AC56" s="7" t="str">
        <f aca="false">IF(AND(G56&gt;IdealTP,L56&gt;IdealPPO),"High TP, High PPO",IF(G56&gt;IdealTP,"High TP, Low PPO",IF(L56&gt;IdealPPO,"Low TP, High PPO","Low TP, Low PPO")))</f>
        <v>Low TP, High PPO</v>
      </c>
      <c r="AD56" s="31" t="n">
        <f aca="false">INDEX(WaveNumbers,MATCH(C56,WaveNames,0))</f>
        <v>4</v>
      </c>
      <c r="AE56" s="32" t="str">
        <f aca="false">IF(U56&gt;0,AD56*10000000+VALUE(RIGHT(AB56,1))*1000000+(1000000-U56)+ROW()/1000000,"")</f>
        <v/>
      </c>
      <c r="AF56" s="31" t="str">
        <f aca="false">IF(U56&gt;0,COUNTIFS($AE$5:$AE$119,"&lt;"&amp;AE56)+1,"")</f>
        <v/>
      </c>
      <c r="AG56" s="7" t="str">
        <f aca="false">IF(AF56="","No",IF(AF56&lt;=TopN,"Yes","No"))</f>
        <v>No</v>
      </c>
      <c r="AH56" s="30" t="n">
        <f aca="false">INT('District Data'!O56*ConvRate)</f>
        <v>0</v>
      </c>
      <c r="AI56" s="27" t="n">
        <f aca="false">MIN(U56,AH56)</f>
        <v>0</v>
      </c>
      <c r="AJ56" s="7" t="str">
        <f aca="false">IF(U56=0,"No expansion",IF(AH56&lt;U56,"Supply constrained (not enough shops)","Demand constrained (enough shops)"))</f>
        <v>No expansion</v>
      </c>
      <c r="AK56" s="30" t="n">
        <f aca="false">IF(AG56="Yes",AI56,0)</f>
        <v>0</v>
      </c>
      <c r="AL56" s="26" t="n">
        <f aca="false">IF(AG56="Yes",IF(Budget1&gt;=ShortlistFinal,AK56,AK56/ShortlistFinal*Budget1),0)</f>
        <v>0</v>
      </c>
      <c r="AM56" s="30" t="n">
        <f aca="false">INT(AL56)</f>
        <v>0</v>
      </c>
      <c r="AN56" s="26" t="n">
        <f aca="false">IF(AND(AG56="Yes",Budget1&lt;ShortlistFinal),AL56-AM56,-1)</f>
        <v>-1</v>
      </c>
      <c r="AO56" s="27" t="n">
        <f aca="false">IF(AG56&lt;&gt;"Yes",0,IF(Budget1&gt;=ShortlistFinal,AK56,AM56+IF(COUNTIFS($AN$5:$AN$119,"&gt;"&amp;AN56)+COUNTIFS($AN$5:$AN$119,AN56,$AF$5:$AF$119,"&lt;"&amp;AF56)&lt;Budget1-SUM($AM$5:$AM$119),1,0)))</f>
        <v>0</v>
      </c>
      <c r="AP56" s="26" t="n">
        <f aca="false">IF(AG56="Yes",IF(Budget2&gt;=ShortlistFinal,AK56,AK56/ShortlistFinal*Budget2),0)</f>
        <v>0</v>
      </c>
      <c r="AQ56" s="30" t="n">
        <f aca="false">INT(AP56)</f>
        <v>0</v>
      </c>
      <c r="AR56" s="26" t="n">
        <f aca="false">IF(AND(AG56="Yes",Budget2&lt;ShortlistFinal),AP56-AQ56,-1)</f>
        <v>-1</v>
      </c>
      <c r="AS56" s="27" t="n">
        <f aca="false">IF(AG56&lt;&gt;"Yes",0,IF(Budget2&gt;=ShortlistFinal,AK56,AQ56+IF(COUNTIFS($AR$5:$AR$119,"&gt;"&amp;AR56)+COUNTIFS($AR$5:$AR$119,AR56,$AF$5:$AF$119,"&lt;"&amp;AF56)&lt;Budget2-SUM($AQ$5:$AQ$119),1,0)))</f>
        <v>0</v>
      </c>
      <c r="AT56" s="26" t="n">
        <f aca="false">AK56*Share2025</f>
        <v>0</v>
      </c>
      <c r="AU56" s="26" t="n">
        <f aca="false">AK56*Share2026</f>
        <v>0</v>
      </c>
      <c r="AV56" s="26" t="n">
        <f aca="false">AK56*Share2027</f>
        <v>0</v>
      </c>
      <c r="AW56" s="31" t="n">
        <f aca="false">INT(AT56)</f>
        <v>0</v>
      </c>
      <c r="AX56" s="31" t="n">
        <f aca="false">INT(AU56)</f>
        <v>0</v>
      </c>
      <c r="AY56" s="31" t="n">
        <f aca="false">INT(AV56)</f>
        <v>0</v>
      </c>
      <c r="AZ56" s="26" t="n">
        <f aca="false">AT56-AW56</f>
        <v>0</v>
      </c>
      <c r="BA56" s="26" t="n">
        <f aca="false">AU56-AX56</f>
        <v>0</v>
      </c>
      <c r="BB56" s="26" t="n">
        <f aca="false">AV56-AY56</f>
        <v>0</v>
      </c>
      <c r="BC56" s="31" t="n">
        <f aca="false">AK56-AW56-AX56-AY56</f>
        <v>0</v>
      </c>
      <c r="BD56" s="27" t="n">
        <f aca="false">AW56+IF((BA56&gt;AZ56)+(BB56&gt;AZ56)&lt;BC56,1,0)</f>
        <v>0</v>
      </c>
      <c r="BE56" s="27" t="n">
        <f aca="false">AX56+IF((AZ56&gt;BA56)+(BB56&gt;BA56)+(AZ56=BA56)&lt;BC56,1,0)</f>
        <v>0</v>
      </c>
      <c r="BF56" s="27" t="n">
        <f aca="false">AY56+IF((AZ56&gt;BB56)+(BA56&gt;BB56)+(AZ56=BB56)+(BA56=BB56)&lt;BC56,1,0)</f>
        <v>0</v>
      </c>
    </row>
    <row r="57" customFormat="false" ht="15" hidden="false" customHeight="false" outlineLevel="0" collapsed="false">
      <c r="A57" s="22" t="str">
        <f aca="false">'District Data'!A57</f>
        <v>Kurram</v>
      </c>
      <c r="B57" s="22" t="str">
        <f aca="false">'District Data'!C57</f>
        <v>Peshawar Region</v>
      </c>
      <c r="C57" s="22" t="str">
        <f aca="false">'District Data'!D57</f>
        <v>Rest</v>
      </c>
      <c r="D57" s="23" t="n">
        <f aca="false">ROUND('District Data'!E57*'District Data'!F57,0)</f>
        <v>108799</v>
      </c>
      <c r="E57" s="23" t="n">
        <f aca="false">'District Data'!I57</f>
        <v>11</v>
      </c>
      <c r="F57" s="23" t="n">
        <f aca="false">'District Data'!L57</f>
        <v>8519.8</v>
      </c>
      <c r="G57" s="24" t="n">
        <f aca="false">IFERROR(F57/(E57*Weeks),0)</f>
        <v>14.8947552447552</v>
      </c>
      <c r="H57" s="25" t="n">
        <f aca="false">IFERROR('District Data'!N57/('District Data'!M57*Weeks),0)</f>
        <v>3.45192307692308</v>
      </c>
      <c r="I57" s="24" t="n">
        <f aca="false">IFERROR(SUMIFS('District Data'!$N$5:$N$119,'District Data'!$C$5:$C$119,B57)/(SUMIFS('District Data'!$M$5:$M$119,'District Data'!$C$5:$C$119,B57)*Weeks),0)</f>
        <v>7.60397053195561</v>
      </c>
      <c r="J57" s="24" t="n">
        <f aca="false">IF(TPBasis="NI TP",IF(H57&gt;0,H57,I57),G57)</f>
        <v>3.45192307692308</v>
      </c>
      <c r="K57" s="26" t="n">
        <f aca="false">IFERROR(F57/D57,0)</f>
        <v>0.0783077050340536</v>
      </c>
      <c r="L57" s="27" t="n">
        <f aca="false">IFERROR(D57/E57,0)</f>
        <v>9890.81818181818</v>
      </c>
      <c r="M57" s="28" t="n">
        <f aca="false">IFERROR('District Data'!L57/'District Data'!K57-1,0)</f>
        <v>0.0888340767058162</v>
      </c>
      <c r="N57" s="28" t="n">
        <f aca="false">IFERROR(('District Data'!L57/'District Data'!J57)^(1/2)-1,0)</f>
        <v>0.0350536497416187</v>
      </c>
      <c r="O57" s="28" t="n">
        <f aca="false">IFERROR('District Data'!I57/'District Data'!H57-1,0)</f>
        <v>0.1</v>
      </c>
      <c r="P57" s="7" t="str">
        <f aca="false">IF(K57&gt;=PCC_L1,"Layer 01",IF(K57&gt;=PCC_L2,"Layer 02",IF(K57&gt;=PCC_L3,"Layer 03",IF(K57&gt;=PCC_L4,"Layer 04","Layer 05"))))</f>
        <v>Layer 05</v>
      </c>
      <c r="Q57" s="7" t="str">
        <f aca="false">IF(L57&gt;=PPO_L1,"Layer 01",IF(L57&gt;=PPO_L2,"Layer 02",IF(L57&gt;=PPO_L3,"Layer 03",IF(L57&gt;=PPO_L4,"Layer 04","Layer 05"))))</f>
        <v>Layer 03</v>
      </c>
      <c r="R57" s="29" t="n">
        <f aca="false">D57/IdealPPO-E57</f>
        <v>134.065333333333</v>
      </c>
      <c r="S57" s="29" t="n">
        <f aca="false">IdealTP*Weeks-(Weeks*J57+FirstFill)</f>
        <v>520.5</v>
      </c>
      <c r="T57" s="29" t="n">
        <f aca="false">IF(S57&gt;0,(F57-IdealTP*Weeks*E57)/S57,1000000000000)</f>
        <v>-0.115658021133527</v>
      </c>
      <c r="U57" s="27" t="n">
        <f aca="false">IF(E57&lt;=0,0,IF(G57&lt;=IdealTP,0,IF(L57&lt;=IdealPPO,0,INT(MIN(T57,R57)+0.000000001))))</f>
        <v>0</v>
      </c>
      <c r="V57" s="7" t="str">
        <f aca="false">IF(E57&lt;=0,"No current outlets",IF(G57&lt;=IdealTP,"TP already at or below ideal",IF(L57&lt;=IdealPPO,"PPO already at or below ideal",IF(T57&lt;=R57,"Stopped by TP reaching ideal","Stopped by PPO reaching ideal"))))</f>
        <v>TP already at or below ideal</v>
      </c>
      <c r="W57" s="30" t="n">
        <f aca="false">F57+U57*(Weeks*J57+FirstFill)</f>
        <v>8519.8</v>
      </c>
      <c r="X57" s="30" t="n">
        <f aca="false">E57+U57</f>
        <v>11</v>
      </c>
      <c r="Y57" s="24" t="n">
        <f aca="false">IFERROR(W57/(X57*Weeks),0)</f>
        <v>14.8947552447552</v>
      </c>
      <c r="Z57" s="30" t="n">
        <f aca="false">IFERROR(D57/X57,0)</f>
        <v>9890.81818181818</v>
      </c>
      <c r="AA57" s="7" t="str">
        <f aca="false">IF(AND(K57&gt;=NationalPCC,L57&gt;IdealPPO),"Q1: High PCC, High PPO",IF(K57&gt;=NationalPCC,"Q2: High PCC, Low PPO",IF(L57&gt;IdealPPO,"Q3: Low PCC, High PPO","Q4: Low PCC, Low PPO")))</f>
        <v>Q3: Low PCC, High PPO</v>
      </c>
      <c r="AB57" s="7" t="str">
        <f aca="false">IF(K57&gt;=NationalPCC,IF(L57&gt;IdealPPO,"Phase 1","Phase 2"),"Phase 3")</f>
        <v>Phase 3</v>
      </c>
      <c r="AC57" s="7" t="str">
        <f aca="false">IF(AND(G57&gt;IdealTP,L57&gt;IdealPPO),"High TP, High PPO",IF(G57&gt;IdealTP,"High TP, Low PPO",IF(L57&gt;IdealPPO,"Low TP, High PPO","Low TP, Low PPO")))</f>
        <v>Low TP, High PPO</v>
      </c>
      <c r="AD57" s="31" t="n">
        <f aca="false">INDEX(WaveNumbers,MATCH(C57,WaveNames,0))</f>
        <v>4</v>
      </c>
      <c r="AE57" s="32" t="str">
        <f aca="false">IF(U57&gt;0,AD57*10000000+VALUE(RIGHT(AB57,1))*1000000+(1000000-U57)+ROW()/1000000,"")</f>
        <v/>
      </c>
      <c r="AF57" s="31" t="str">
        <f aca="false">IF(U57&gt;0,COUNTIFS($AE$5:$AE$119,"&lt;"&amp;AE57)+1,"")</f>
        <v/>
      </c>
      <c r="AG57" s="7" t="str">
        <f aca="false">IF(AF57="","No",IF(AF57&lt;=TopN,"Yes","No"))</f>
        <v>No</v>
      </c>
      <c r="AH57" s="30" t="n">
        <f aca="false">INT('District Data'!O57*ConvRate)</f>
        <v>7</v>
      </c>
      <c r="AI57" s="27" t="n">
        <f aca="false">MIN(U57,AH57)</f>
        <v>0</v>
      </c>
      <c r="AJ57" s="7" t="str">
        <f aca="false">IF(U57=0,"No expansion",IF(AH57&lt;U57,"Supply constrained (not enough shops)","Demand constrained (enough shops)"))</f>
        <v>No expansion</v>
      </c>
      <c r="AK57" s="30" t="n">
        <f aca="false">IF(AG57="Yes",AI57,0)</f>
        <v>0</v>
      </c>
      <c r="AL57" s="26" t="n">
        <f aca="false">IF(AG57="Yes",IF(Budget1&gt;=ShortlistFinal,AK57,AK57/ShortlistFinal*Budget1),0)</f>
        <v>0</v>
      </c>
      <c r="AM57" s="30" t="n">
        <f aca="false">INT(AL57)</f>
        <v>0</v>
      </c>
      <c r="AN57" s="26" t="n">
        <f aca="false">IF(AND(AG57="Yes",Budget1&lt;ShortlistFinal),AL57-AM57,-1)</f>
        <v>-1</v>
      </c>
      <c r="AO57" s="27" t="n">
        <f aca="false">IF(AG57&lt;&gt;"Yes",0,IF(Budget1&gt;=ShortlistFinal,AK57,AM57+IF(COUNTIFS($AN$5:$AN$119,"&gt;"&amp;AN57)+COUNTIFS($AN$5:$AN$119,AN57,$AF$5:$AF$119,"&lt;"&amp;AF57)&lt;Budget1-SUM($AM$5:$AM$119),1,0)))</f>
        <v>0</v>
      </c>
      <c r="AP57" s="26" t="n">
        <f aca="false">IF(AG57="Yes",IF(Budget2&gt;=ShortlistFinal,AK57,AK57/ShortlistFinal*Budget2),0)</f>
        <v>0</v>
      </c>
      <c r="AQ57" s="30" t="n">
        <f aca="false">INT(AP57)</f>
        <v>0</v>
      </c>
      <c r="AR57" s="26" t="n">
        <f aca="false">IF(AND(AG57="Yes",Budget2&lt;ShortlistFinal),AP57-AQ57,-1)</f>
        <v>-1</v>
      </c>
      <c r="AS57" s="27" t="n">
        <f aca="false">IF(AG57&lt;&gt;"Yes",0,IF(Budget2&gt;=ShortlistFinal,AK57,AQ57+IF(COUNTIFS($AR$5:$AR$119,"&gt;"&amp;AR57)+COUNTIFS($AR$5:$AR$119,AR57,$AF$5:$AF$119,"&lt;"&amp;AF57)&lt;Budget2-SUM($AQ$5:$AQ$119),1,0)))</f>
        <v>0</v>
      </c>
      <c r="AT57" s="26" t="n">
        <f aca="false">AK57*Share2025</f>
        <v>0</v>
      </c>
      <c r="AU57" s="26" t="n">
        <f aca="false">AK57*Share2026</f>
        <v>0</v>
      </c>
      <c r="AV57" s="26" t="n">
        <f aca="false">AK57*Share2027</f>
        <v>0</v>
      </c>
      <c r="AW57" s="31" t="n">
        <f aca="false">INT(AT57)</f>
        <v>0</v>
      </c>
      <c r="AX57" s="31" t="n">
        <f aca="false">INT(AU57)</f>
        <v>0</v>
      </c>
      <c r="AY57" s="31" t="n">
        <f aca="false">INT(AV57)</f>
        <v>0</v>
      </c>
      <c r="AZ57" s="26" t="n">
        <f aca="false">AT57-AW57</f>
        <v>0</v>
      </c>
      <c r="BA57" s="26" t="n">
        <f aca="false">AU57-AX57</f>
        <v>0</v>
      </c>
      <c r="BB57" s="26" t="n">
        <f aca="false">AV57-AY57</f>
        <v>0</v>
      </c>
      <c r="BC57" s="31" t="n">
        <f aca="false">AK57-AW57-AX57-AY57</f>
        <v>0</v>
      </c>
      <c r="BD57" s="27" t="n">
        <f aca="false">AW57+IF((BA57&gt;AZ57)+(BB57&gt;AZ57)&lt;BC57,1,0)</f>
        <v>0</v>
      </c>
      <c r="BE57" s="27" t="n">
        <f aca="false">AX57+IF((AZ57&gt;BA57)+(BB57&gt;BA57)+(AZ57=BA57)&lt;BC57,1,0)</f>
        <v>0</v>
      </c>
      <c r="BF57" s="27" t="n">
        <f aca="false">AY57+IF((AZ57&gt;BB57)+(BA57&gt;BB57)+(AZ57=BB57)+(BA57=BB57)&lt;BC57,1,0)</f>
        <v>0</v>
      </c>
    </row>
    <row r="58" customFormat="false" ht="15" hidden="false" customHeight="false" outlineLevel="0" collapsed="false">
      <c r="A58" s="22" t="str">
        <f aca="false">'District Data'!A58</f>
        <v>Lahore</v>
      </c>
      <c r="B58" s="22" t="str">
        <f aca="false">'District Data'!C58</f>
        <v>Lahore Region</v>
      </c>
      <c r="C58" s="22" t="str">
        <f aca="false">'District Data'!D58</f>
        <v>Stronghold</v>
      </c>
      <c r="D58" s="23" t="n">
        <f aca="false">ROUND('District Data'!E58*'District Data'!F58,0)</f>
        <v>9476962</v>
      </c>
      <c r="E58" s="23" t="n">
        <f aca="false">'District Data'!I58</f>
        <v>10222</v>
      </c>
      <c r="F58" s="23" t="n">
        <f aca="false">'District Data'!L58</f>
        <v>10464261.9</v>
      </c>
      <c r="G58" s="24" t="n">
        <f aca="false">IFERROR(F58/(E58*Weeks),0)</f>
        <v>19.6865394021944</v>
      </c>
      <c r="H58" s="25" t="n">
        <f aca="false">IFERROR('District Data'!N58/('District Data'!M58*Weeks),0)</f>
        <v>9.78129188519814</v>
      </c>
      <c r="I58" s="24" t="n">
        <f aca="false">IFERROR(SUMIFS('District Data'!$N$5:$N$119,'District Data'!$C$5:$C$119,B58)/(SUMIFS('District Data'!$M$5:$M$119,'District Data'!$C$5:$C$119,B58)*Weeks),0)</f>
        <v>11.5536217630433</v>
      </c>
      <c r="J58" s="24" t="n">
        <f aca="false">IF(TPBasis="NI TP",IF(H58&gt;0,H58,I58),G58)</f>
        <v>9.78129188519814</v>
      </c>
      <c r="K58" s="26" t="n">
        <f aca="false">IFERROR(F58/D58,0)</f>
        <v>1.10417894468713</v>
      </c>
      <c r="L58" s="27" t="n">
        <f aca="false">IFERROR(D58/E58,0)</f>
        <v>927.114263353551</v>
      </c>
      <c r="M58" s="28" t="n">
        <f aca="false">IFERROR('District Data'!L58/'District Data'!K58-1,0)</f>
        <v>0.0115453449860878</v>
      </c>
      <c r="N58" s="28" t="n">
        <f aca="false">IFERROR(('District Data'!L58/'District Data'!J58)^(1/2)-1,0)</f>
        <v>0.0169153999792662</v>
      </c>
      <c r="O58" s="28" t="n">
        <f aca="false">IFERROR('District Data'!I58/'District Data'!H58-1,0)</f>
        <v>0.0723877465379774</v>
      </c>
      <c r="P58" s="7" t="str">
        <f aca="false">IF(K58&gt;=PCC_L1,"Layer 01",IF(K58&gt;=PCC_L2,"Layer 02",IF(K58&gt;=PCC_L3,"Layer 03",IF(K58&gt;=PCC_L4,"Layer 04","Layer 05"))))</f>
        <v>Layer 02</v>
      </c>
      <c r="Q58" s="7" t="str">
        <f aca="false">IF(L58&gt;=PPO_L1,"Layer 01",IF(L58&gt;=PPO_L2,"Layer 02",IF(L58&gt;=PPO_L3,"Layer 03",IF(L58&gt;=PPO_L4,"Layer 04","Layer 05"))))</f>
        <v>Layer 05</v>
      </c>
      <c r="R58" s="29" t="n">
        <f aca="false">D58/IdealPPO-E58</f>
        <v>2413.94933333333</v>
      </c>
      <c r="S58" s="29" t="n">
        <f aca="false">IdealTP*Weeks-(Weeks*J58+FirstFill)</f>
        <v>191.372821969697</v>
      </c>
      <c r="T58" s="29" t="n">
        <f aca="false">IF(S58&gt;0,(F58-IdealTP*Weeks*E58)/S58,1000000000000)</f>
        <v>13017.0098050519</v>
      </c>
      <c r="U58" s="27" t="n">
        <f aca="false">IF(E58&lt;=0,0,IF(G58&lt;=IdealTP,0,IF(L58&lt;=IdealPPO,0,INT(MIN(T58,R58)+0.000000001))))</f>
        <v>2413</v>
      </c>
      <c r="V58" s="7" t="str">
        <f aca="false">IF(E58&lt;=0,"No current outlets",IF(G58&lt;=IdealTP,"TP already at or below ideal",IF(L58&lt;=IdealPPO,"PPO already at or below ideal",IF(T58&lt;=R58,"Stopped by TP reaching ideal","Stopped by PPO reaching ideal"))))</f>
        <v>Stopped by PPO reaching ideal</v>
      </c>
      <c r="W58" s="30" t="n">
        <f aca="false">F58+U58*(Weeks*J58+FirstFill)</f>
        <v>11884619.2805871</v>
      </c>
      <c r="X58" s="30" t="n">
        <f aca="false">E58+U58</f>
        <v>12635</v>
      </c>
      <c r="Y58" s="24" t="n">
        <f aca="false">IFERROR(W58/(X58*Weeks),0)</f>
        <v>18.08867200479</v>
      </c>
      <c r="Z58" s="30" t="n">
        <f aca="false">IFERROR(D58/X58,0)</f>
        <v>750.056351404828</v>
      </c>
      <c r="AA58" s="7" t="str">
        <f aca="false">IF(AND(K58&gt;=NationalPCC,L58&gt;IdealPPO),"Q1: High PCC, High PPO",IF(K58&gt;=NationalPCC,"Q2: High PCC, Low PPO",IF(L58&gt;IdealPPO,"Q3: Low PCC, High PPO","Q4: Low PCC, Low PPO")))</f>
        <v>Q1: High PCC, High PPO</v>
      </c>
      <c r="AB58" s="7" t="str">
        <f aca="false">IF(K58&gt;=NationalPCC,IF(L58&gt;IdealPPO,"Phase 1","Phase 2"),"Phase 3")</f>
        <v>Phase 1</v>
      </c>
      <c r="AC58" s="7" t="str">
        <f aca="false">IF(AND(G58&gt;IdealTP,L58&gt;IdealPPO),"High TP, High PPO",IF(G58&gt;IdealTP,"High TP, Low PPO",IF(L58&gt;IdealPPO,"Low TP, High PPO","Low TP, Low PPO")))</f>
        <v>High TP, High PPO</v>
      </c>
      <c r="AD58" s="31" t="n">
        <f aca="false">INDEX(WaveNumbers,MATCH(C58,WaveNames,0))</f>
        <v>1</v>
      </c>
      <c r="AE58" s="32" t="n">
        <f aca="false">IF(U58&gt;0,AD58*10000000+VALUE(RIGHT(AB58,1))*1000000+(1000000-U58)+ROW()/1000000,"")</f>
        <v>11997587.000058</v>
      </c>
      <c r="AF58" s="31" t="n">
        <f aca="false">IF(U58&gt;0,COUNTIFS($AE$5:$AE$119,"&lt;"&amp;AE58)+1,"")</f>
        <v>3</v>
      </c>
      <c r="AG58" s="7" t="str">
        <f aca="false">IF(AF58="","No",IF(AF58&lt;=TopN,"Yes","No"))</f>
        <v>Yes</v>
      </c>
      <c r="AH58" s="30" t="n">
        <f aca="false">INT('District Data'!O58*ConvRate)</f>
        <v>1336</v>
      </c>
      <c r="AI58" s="27" t="n">
        <f aca="false">MIN(U58,AH58)</f>
        <v>1336</v>
      </c>
      <c r="AJ58" s="7" t="str">
        <f aca="false">IF(U58=0,"No expansion",IF(AH58&lt;U58,"Supply constrained (not enough shops)","Demand constrained (enough shops)"))</f>
        <v>Supply constrained (not enough shops)</v>
      </c>
      <c r="AK58" s="30" t="n">
        <f aca="false">IF(AG58="Yes",AI58,0)</f>
        <v>1336</v>
      </c>
      <c r="AL58" s="26" t="n">
        <f aca="false">IF(AG58="Yes",IF(Budget1&gt;=ShortlistFinal,AK58,AK58/ShortlistFinal*Budget1),0)</f>
        <v>789.948263118995</v>
      </c>
      <c r="AM58" s="30" t="n">
        <f aca="false">INT(AL58)</f>
        <v>789</v>
      </c>
      <c r="AN58" s="26" t="n">
        <f aca="false">IF(AND(AG58="Yes",Budget1&lt;ShortlistFinal),AL58-AM58,-1)</f>
        <v>0.94826311899476</v>
      </c>
      <c r="AO58" s="27" t="n">
        <f aca="false">IF(AG58&lt;&gt;"Yes",0,IF(Budget1&gt;=ShortlistFinal,AK58,AM58+IF(COUNTIFS($AN$5:$AN$119,"&gt;"&amp;AN58)+COUNTIFS($AN$5:$AN$119,AN58,$AF$5:$AF$119,"&lt;"&amp;AF58)&lt;Budget1-SUM($AM$5:$AM$119),1,0)))</f>
        <v>790</v>
      </c>
      <c r="AP58" s="26" t="n">
        <f aca="false">IF(AG58="Yes",IF(Budget2&gt;=ShortlistFinal,AK58,AK58/ShortlistFinal*Budget2),0)</f>
        <v>1184.92239467849</v>
      </c>
      <c r="AQ58" s="30" t="n">
        <f aca="false">INT(AP58)</f>
        <v>1184</v>
      </c>
      <c r="AR58" s="26" t="n">
        <f aca="false">IF(AND(AG58="Yes",Budget2&lt;ShortlistFinal),AP58-AQ58,-1)</f>
        <v>0.92239467849231</v>
      </c>
      <c r="AS58" s="27" t="n">
        <f aca="false">IF(AG58&lt;&gt;"Yes",0,IF(Budget2&gt;=ShortlistFinal,AK58,AQ58+IF(COUNTIFS($AR$5:$AR$119,"&gt;"&amp;AR58)+COUNTIFS($AR$5:$AR$119,AR58,$AF$5:$AF$119,"&lt;"&amp;AF58)&lt;Budget2-SUM($AQ$5:$AQ$119),1,0)))</f>
        <v>1185</v>
      </c>
      <c r="AT58" s="26" t="n">
        <f aca="false">AK58*Share2025</f>
        <v>471.529411764706</v>
      </c>
      <c r="AU58" s="26" t="n">
        <f aca="false">AK58*Share2026</f>
        <v>471.529411764706</v>
      </c>
      <c r="AV58" s="26" t="n">
        <f aca="false">AK58*Share2027</f>
        <v>392.941176470588</v>
      </c>
      <c r="AW58" s="31" t="n">
        <f aca="false">INT(AT58)</f>
        <v>471</v>
      </c>
      <c r="AX58" s="31" t="n">
        <f aca="false">INT(AU58)</f>
        <v>471</v>
      </c>
      <c r="AY58" s="31" t="n">
        <f aca="false">INT(AV58)</f>
        <v>392</v>
      </c>
      <c r="AZ58" s="26" t="n">
        <f aca="false">AT58-AW58</f>
        <v>0.529411764705969</v>
      </c>
      <c r="BA58" s="26" t="n">
        <f aca="false">AU58-AX58</f>
        <v>0.529411764705969</v>
      </c>
      <c r="BB58" s="26" t="n">
        <f aca="false">AV58-AY58</f>
        <v>0.941176470588175</v>
      </c>
      <c r="BC58" s="31" t="n">
        <f aca="false">AK58-AW58-AX58-AY58</f>
        <v>2</v>
      </c>
      <c r="BD58" s="27" t="n">
        <f aca="false">AW58+IF((BA58&gt;AZ58)+(BB58&gt;AZ58)&lt;BC58,1,0)</f>
        <v>472</v>
      </c>
      <c r="BE58" s="27" t="n">
        <f aca="false">AX58+IF((AZ58&gt;BA58)+(BB58&gt;BA58)+(AZ58=BA58)&lt;BC58,1,0)</f>
        <v>471</v>
      </c>
      <c r="BF58" s="27" t="n">
        <f aca="false">AY58+IF((AZ58&gt;BB58)+(BA58&gt;BB58)+(AZ58=BB58)+(BA58=BB58)&lt;BC58,1,0)</f>
        <v>393</v>
      </c>
    </row>
    <row r="59" customFormat="false" ht="15" hidden="false" customHeight="false" outlineLevel="0" collapsed="false">
      <c r="A59" s="22" t="str">
        <f aca="false">'District Data'!A59</f>
        <v>Lakki Marwat</v>
      </c>
      <c r="B59" s="22" t="str">
        <f aca="false">'District Data'!C59</f>
        <v>Peshawar Region</v>
      </c>
      <c r="C59" s="22" t="str">
        <f aca="false">'District Data'!D59</f>
        <v>Rest</v>
      </c>
      <c r="D59" s="23" t="n">
        <f aca="false">ROUND('District Data'!E59*'District Data'!F59,0)</f>
        <v>191873</v>
      </c>
      <c r="E59" s="23" t="n">
        <f aca="false">'District Data'!I59</f>
        <v>21</v>
      </c>
      <c r="F59" s="23" t="n">
        <f aca="false">'District Data'!L59</f>
        <v>16141.3</v>
      </c>
      <c r="G59" s="24" t="n">
        <f aca="false">IFERROR(F59/(E59*Weeks),0)</f>
        <v>14.7814102564103</v>
      </c>
      <c r="H59" s="25" t="n">
        <f aca="false">IFERROR('District Data'!N59/('District Data'!M59*Weeks),0)</f>
        <v>10.3528846153846</v>
      </c>
      <c r="I59" s="24" t="n">
        <f aca="false">IFERROR(SUMIFS('District Data'!$N$5:$N$119,'District Data'!$C$5:$C$119,B59)/(SUMIFS('District Data'!$M$5:$M$119,'District Data'!$C$5:$C$119,B59)*Weeks),0)</f>
        <v>7.60397053195561</v>
      </c>
      <c r="J59" s="24" t="n">
        <f aca="false">IF(TPBasis="NI TP",IF(H59&gt;0,H59,I59),G59)</f>
        <v>10.3528846153846</v>
      </c>
      <c r="K59" s="26" t="n">
        <f aca="false">IFERROR(F59/D59,0)</f>
        <v>0.0841249159600361</v>
      </c>
      <c r="L59" s="27" t="n">
        <f aca="false">IFERROR(D59/E59,0)</f>
        <v>9136.80952380952</v>
      </c>
      <c r="M59" s="28" t="n">
        <f aca="false">IFERROR('District Data'!L59/'District Data'!K59-1,0)</f>
        <v>-0.0327021034338108</v>
      </c>
      <c r="N59" s="28" t="n">
        <f aca="false">IFERROR(('District Data'!L59/'District Data'!J59)^(1/2)-1,0)</f>
        <v>-0.0316561095628702</v>
      </c>
      <c r="O59" s="28" t="n">
        <f aca="false">IFERROR('District Data'!I59/'District Data'!H59-1,0)</f>
        <v>0.05</v>
      </c>
      <c r="P59" s="7" t="str">
        <f aca="false">IF(K59&gt;=PCC_L1,"Layer 01",IF(K59&gt;=PCC_L2,"Layer 02",IF(K59&gt;=PCC_L3,"Layer 03",IF(K59&gt;=PCC_L4,"Layer 04","Layer 05"))))</f>
        <v>Layer 05</v>
      </c>
      <c r="Q59" s="7" t="str">
        <f aca="false">IF(L59&gt;=PPO_L1,"Layer 01",IF(L59&gt;=PPO_L2,"Layer 02",IF(L59&gt;=PPO_L3,"Layer 03",IF(L59&gt;=PPO_L4,"Layer 04","Layer 05"))))</f>
        <v>Layer 03</v>
      </c>
      <c r="R59" s="29" t="n">
        <f aca="false">D59/IdealPPO-E59</f>
        <v>234.830666666667</v>
      </c>
      <c r="S59" s="29" t="n">
        <f aca="false">IdealTP*Weeks-(Weeks*J59+FirstFill)</f>
        <v>161.65</v>
      </c>
      <c r="T59" s="29" t="n">
        <f aca="false">IF(S59&gt;0,(F59-IdealTP*Weeks*E59)/S59,1000000000000)</f>
        <v>-1.47664707701825</v>
      </c>
      <c r="U59" s="27" t="n">
        <f aca="false">IF(E59&lt;=0,0,IF(G59&lt;=IdealTP,0,IF(L59&lt;=IdealPPO,0,INT(MIN(T59,R59)+0.000000001))))</f>
        <v>0</v>
      </c>
      <c r="V59" s="7" t="str">
        <f aca="false">IF(E59&lt;=0,"No current outlets",IF(G59&lt;=IdealTP,"TP already at or below ideal",IF(L59&lt;=IdealPPO,"PPO already at or below ideal",IF(T59&lt;=R59,"Stopped by TP reaching ideal","Stopped by PPO reaching ideal"))))</f>
        <v>TP already at or below ideal</v>
      </c>
      <c r="W59" s="30" t="n">
        <f aca="false">F59+U59*(Weeks*J59+FirstFill)</f>
        <v>16141.3</v>
      </c>
      <c r="X59" s="30" t="n">
        <f aca="false">E59+U59</f>
        <v>21</v>
      </c>
      <c r="Y59" s="24" t="n">
        <f aca="false">IFERROR(W59/(X59*Weeks),0)</f>
        <v>14.7814102564103</v>
      </c>
      <c r="Z59" s="30" t="n">
        <f aca="false">IFERROR(D59/X59,0)</f>
        <v>9136.80952380952</v>
      </c>
      <c r="AA59" s="7" t="str">
        <f aca="false">IF(AND(K59&gt;=NationalPCC,L59&gt;IdealPPO),"Q1: High PCC, High PPO",IF(K59&gt;=NationalPCC,"Q2: High PCC, Low PPO",IF(L59&gt;IdealPPO,"Q3: Low PCC, High PPO","Q4: Low PCC, Low PPO")))</f>
        <v>Q3: Low PCC, High PPO</v>
      </c>
      <c r="AB59" s="7" t="str">
        <f aca="false">IF(K59&gt;=NationalPCC,IF(L59&gt;IdealPPO,"Phase 1","Phase 2"),"Phase 3")</f>
        <v>Phase 3</v>
      </c>
      <c r="AC59" s="7" t="str">
        <f aca="false">IF(AND(G59&gt;IdealTP,L59&gt;IdealPPO),"High TP, High PPO",IF(G59&gt;IdealTP,"High TP, Low PPO",IF(L59&gt;IdealPPO,"Low TP, High PPO","Low TP, Low PPO")))</f>
        <v>Low TP, High PPO</v>
      </c>
      <c r="AD59" s="31" t="n">
        <f aca="false">INDEX(WaveNumbers,MATCH(C59,WaveNames,0))</f>
        <v>4</v>
      </c>
      <c r="AE59" s="32" t="str">
        <f aca="false">IF(U59&gt;0,AD59*10000000+VALUE(RIGHT(AB59,1))*1000000+(1000000-U59)+ROW()/1000000,"")</f>
        <v/>
      </c>
      <c r="AF59" s="31" t="str">
        <f aca="false">IF(U59&gt;0,COUNTIFS($AE$5:$AE$119,"&lt;"&amp;AE59)+1,"")</f>
        <v/>
      </c>
      <c r="AG59" s="7" t="str">
        <f aca="false">IF(AF59="","No",IF(AF59&lt;=TopN,"Yes","No"))</f>
        <v>No</v>
      </c>
      <c r="AH59" s="30" t="n">
        <f aca="false">INT('District Data'!O59*ConvRate)</f>
        <v>16</v>
      </c>
      <c r="AI59" s="27" t="n">
        <f aca="false">MIN(U59,AH59)</f>
        <v>0</v>
      </c>
      <c r="AJ59" s="7" t="str">
        <f aca="false">IF(U59=0,"No expansion",IF(AH59&lt;U59,"Supply constrained (not enough shops)","Demand constrained (enough shops)"))</f>
        <v>No expansion</v>
      </c>
      <c r="AK59" s="30" t="n">
        <f aca="false">IF(AG59="Yes",AI59,0)</f>
        <v>0</v>
      </c>
      <c r="AL59" s="26" t="n">
        <f aca="false">IF(AG59="Yes",IF(Budget1&gt;=ShortlistFinal,AK59,AK59/ShortlistFinal*Budget1),0)</f>
        <v>0</v>
      </c>
      <c r="AM59" s="30" t="n">
        <f aca="false">INT(AL59)</f>
        <v>0</v>
      </c>
      <c r="AN59" s="26" t="n">
        <f aca="false">IF(AND(AG59="Yes",Budget1&lt;ShortlistFinal),AL59-AM59,-1)</f>
        <v>-1</v>
      </c>
      <c r="AO59" s="27" t="n">
        <f aca="false">IF(AG59&lt;&gt;"Yes",0,IF(Budget1&gt;=ShortlistFinal,AK59,AM59+IF(COUNTIFS($AN$5:$AN$119,"&gt;"&amp;AN59)+COUNTIFS($AN$5:$AN$119,AN59,$AF$5:$AF$119,"&lt;"&amp;AF59)&lt;Budget1-SUM($AM$5:$AM$119),1,0)))</f>
        <v>0</v>
      </c>
      <c r="AP59" s="26" t="n">
        <f aca="false">IF(AG59="Yes",IF(Budget2&gt;=ShortlistFinal,AK59,AK59/ShortlistFinal*Budget2),0)</f>
        <v>0</v>
      </c>
      <c r="AQ59" s="30" t="n">
        <f aca="false">INT(AP59)</f>
        <v>0</v>
      </c>
      <c r="AR59" s="26" t="n">
        <f aca="false">IF(AND(AG59="Yes",Budget2&lt;ShortlistFinal),AP59-AQ59,-1)</f>
        <v>-1</v>
      </c>
      <c r="AS59" s="27" t="n">
        <f aca="false">IF(AG59&lt;&gt;"Yes",0,IF(Budget2&gt;=ShortlistFinal,AK59,AQ59+IF(COUNTIFS($AR$5:$AR$119,"&gt;"&amp;AR59)+COUNTIFS($AR$5:$AR$119,AR59,$AF$5:$AF$119,"&lt;"&amp;AF59)&lt;Budget2-SUM($AQ$5:$AQ$119),1,0)))</f>
        <v>0</v>
      </c>
      <c r="AT59" s="26" t="n">
        <f aca="false">AK59*Share2025</f>
        <v>0</v>
      </c>
      <c r="AU59" s="26" t="n">
        <f aca="false">AK59*Share2026</f>
        <v>0</v>
      </c>
      <c r="AV59" s="26" t="n">
        <f aca="false">AK59*Share2027</f>
        <v>0</v>
      </c>
      <c r="AW59" s="31" t="n">
        <f aca="false">INT(AT59)</f>
        <v>0</v>
      </c>
      <c r="AX59" s="31" t="n">
        <f aca="false">INT(AU59)</f>
        <v>0</v>
      </c>
      <c r="AY59" s="31" t="n">
        <f aca="false">INT(AV59)</f>
        <v>0</v>
      </c>
      <c r="AZ59" s="26" t="n">
        <f aca="false">AT59-AW59</f>
        <v>0</v>
      </c>
      <c r="BA59" s="26" t="n">
        <f aca="false">AU59-AX59</f>
        <v>0</v>
      </c>
      <c r="BB59" s="26" t="n">
        <f aca="false">AV59-AY59</f>
        <v>0</v>
      </c>
      <c r="BC59" s="31" t="n">
        <f aca="false">AK59-AW59-AX59-AY59</f>
        <v>0</v>
      </c>
      <c r="BD59" s="27" t="n">
        <f aca="false">AW59+IF((BA59&gt;AZ59)+(BB59&gt;AZ59)&lt;BC59,1,0)</f>
        <v>0</v>
      </c>
      <c r="BE59" s="27" t="n">
        <f aca="false">AX59+IF((AZ59&gt;BA59)+(BB59&gt;BA59)+(AZ59=BA59)&lt;BC59,1,0)</f>
        <v>0</v>
      </c>
      <c r="BF59" s="27" t="n">
        <f aca="false">AY59+IF((AZ59&gt;BB59)+(BA59&gt;BB59)+(AZ59=BB59)+(BA59=BB59)&lt;BC59,1,0)</f>
        <v>0</v>
      </c>
    </row>
    <row r="60" customFormat="false" ht="15" hidden="false" customHeight="false" outlineLevel="0" collapsed="false">
      <c r="A60" s="22" t="str">
        <f aca="false">'District Data'!A60</f>
        <v>Lasbela</v>
      </c>
      <c r="B60" s="22" t="str">
        <f aca="false">'District Data'!C60</f>
        <v>Karachi Region</v>
      </c>
      <c r="C60" s="22" t="str">
        <f aca="false">'District Data'!D60</f>
        <v>Neighbouring</v>
      </c>
      <c r="D60" s="23" t="n">
        <f aca="false">ROUND('District Data'!E60*'District Data'!F60,0)</f>
        <v>289880</v>
      </c>
      <c r="E60" s="23" t="n">
        <f aca="false">'District Data'!I60</f>
        <v>44</v>
      </c>
      <c r="F60" s="23" t="n">
        <f aca="false">'District Data'!L60</f>
        <v>43688.3</v>
      </c>
      <c r="G60" s="24" t="n">
        <f aca="false">IFERROR(F60/(E60*Weeks),0)</f>
        <v>19.0945367132867</v>
      </c>
      <c r="H60" s="25" t="n">
        <f aca="false">IFERROR('District Data'!N60/('District Data'!M60*Weeks),0)</f>
        <v>10.1182692307692</v>
      </c>
      <c r="I60" s="24" t="n">
        <f aca="false">IFERROR(SUMIFS('District Data'!$N$5:$N$119,'District Data'!$C$5:$C$119,B60)/(SUMIFS('District Data'!$M$5:$M$119,'District Data'!$C$5:$C$119,B60)*Weeks),0)</f>
        <v>12.952446872194</v>
      </c>
      <c r="J60" s="24" t="n">
        <f aca="false">IF(TPBasis="NI TP",IF(H60&gt;0,H60,I60),G60)</f>
        <v>10.1182692307692</v>
      </c>
      <c r="K60" s="26" t="n">
        <f aca="false">IFERROR(F60/D60,0)</f>
        <v>0.150711673796054</v>
      </c>
      <c r="L60" s="27" t="n">
        <f aca="false">IFERROR(D60/E60,0)</f>
        <v>6588.18181818182</v>
      </c>
      <c r="M60" s="28" t="n">
        <f aca="false">IFERROR('District Data'!L60/'District Data'!K60-1,0)</f>
        <v>0.0610420426036251</v>
      </c>
      <c r="N60" s="28" t="n">
        <f aca="false">IFERROR(('District Data'!L60/'District Data'!J60)^(1/2)-1,0)</f>
        <v>0.0501295426276454</v>
      </c>
      <c r="O60" s="28" t="n">
        <f aca="false">IFERROR('District Data'!I60/'District Data'!H60-1,0)</f>
        <v>0.157894736842105</v>
      </c>
      <c r="P60" s="7" t="str">
        <f aca="false">IF(K60&gt;=PCC_L1,"Layer 01",IF(K60&gt;=PCC_L2,"Layer 02",IF(K60&gt;=PCC_L3,"Layer 03",IF(K60&gt;=PCC_L4,"Layer 04","Layer 05"))))</f>
        <v>Layer 05</v>
      </c>
      <c r="Q60" s="7" t="str">
        <f aca="false">IF(L60&gt;=PPO_L1,"Layer 01",IF(L60&gt;=PPO_L2,"Layer 02",IF(L60&gt;=PPO_L3,"Layer 03",IF(L60&gt;=PPO_L4,"Layer 04","Layer 05"))))</f>
        <v>Layer 03</v>
      </c>
      <c r="R60" s="29" t="n">
        <f aca="false">D60/IdealPPO-E60</f>
        <v>342.506666666667</v>
      </c>
      <c r="S60" s="29" t="n">
        <f aca="false">IdealTP*Weeks-(Weeks*J60+FirstFill)</f>
        <v>173.85</v>
      </c>
      <c r="T60" s="29" t="n">
        <f aca="false">IF(S60&gt;0,(F60-IdealTP*Weeks*E60)/S60,1000000000000)</f>
        <v>53.8872591314352</v>
      </c>
      <c r="U60" s="27" t="n">
        <f aca="false">IF(E60&lt;=0,0,IF(G60&lt;=IdealTP,0,IF(L60&lt;=IdealPPO,0,INT(MIN(T60,R60)+0.000000001))))</f>
        <v>53</v>
      </c>
      <c r="V60" s="7" t="str">
        <f aca="false">IF(E60&lt;=0,"No current outlets",IF(G60&lt;=IdealTP,"TP already at or below ideal",IF(L60&lt;=IdealPPO,"PPO already at or below ideal",IF(T60&lt;=R60,"Stopped by TP reaching ideal","Stopped by PPO reaching ideal"))))</f>
        <v>Stopped by TP reaching ideal</v>
      </c>
      <c r="W60" s="30" t="n">
        <f aca="false">F60+U60*(Weeks*J60+FirstFill)</f>
        <v>75814.25</v>
      </c>
      <c r="X60" s="30" t="n">
        <f aca="false">E60+U60</f>
        <v>97</v>
      </c>
      <c r="Y60" s="24" t="n">
        <f aca="false">IFERROR(W60/(X60*Weeks),0)</f>
        <v>15.030580888184</v>
      </c>
      <c r="Z60" s="30" t="n">
        <f aca="false">IFERROR(D60/X60,0)</f>
        <v>2988.45360824742</v>
      </c>
      <c r="AA60" s="7" t="str">
        <f aca="false">IF(AND(K60&gt;=NationalPCC,L60&gt;IdealPPO),"Q1: High PCC, High PPO",IF(K60&gt;=NationalPCC,"Q2: High PCC, Low PPO",IF(L60&gt;IdealPPO,"Q3: Low PCC, High PPO","Q4: Low PCC, Low PPO")))</f>
        <v>Q3: Low PCC, High PPO</v>
      </c>
      <c r="AB60" s="7" t="str">
        <f aca="false">IF(K60&gt;=NationalPCC,IF(L60&gt;IdealPPO,"Phase 1","Phase 2"),"Phase 3")</f>
        <v>Phase 3</v>
      </c>
      <c r="AC60" s="7" t="str">
        <f aca="false">IF(AND(G60&gt;IdealTP,L60&gt;IdealPPO),"High TP, High PPO",IF(G60&gt;IdealTP,"High TP, Low PPO",IF(L60&gt;IdealPPO,"Low TP, High PPO","Low TP, Low PPO")))</f>
        <v>High TP, High PPO</v>
      </c>
      <c r="AD60" s="31" t="n">
        <f aca="false">INDEX(WaveNumbers,MATCH(C60,WaveNames,0))</f>
        <v>2</v>
      </c>
      <c r="AE60" s="32" t="n">
        <f aca="false">IF(U60&gt;0,AD60*10000000+VALUE(RIGHT(AB60,1))*1000000+(1000000-U60)+ROW()/1000000,"")</f>
        <v>23999947.00006</v>
      </c>
      <c r="AF60" s="31" t="n">
        <f aca="false">IF(U60&gt;0,COUNTIFS($AE$5:$AE$119,"&lt;"&amp;AE60)+1,"")</f>
        <v>29</v>
      </c>
      <c r="AG60" s="7" t="str">
        <f aca="false">IF(AF60="","No",IF(AF60&lt;=TopN,"Yes","No"))</f>
        <v>Yes</v>
      </c>
      <c r="AH60" s="30" t="n">
        <f aca="false">INT('District Data'!O60*ConvRate)</f>
        <v>23</v>
      </c>
      <c r="AI60" s="27" t="n">
        <f aca="false">MIN(U60,AH60)</f>
        <v>23</v>
      </c>
      <c r="AJ60" s="7" t="str">
        <f aca="false">IF(U60=0,"No expansion",IF(AH60&lt;U60,"Supply constrained (not enough shops)","Demand constrained (enough shops)"))</f>
        <v>Supply constrained (not enough shops)</v>
      </c>
      <c r="AK60" s="30" t="n">
        <f aca="false">IF(AG60="Yes",AI60,0)</f>
        <v>23</v>
      </c>
      <c r="AL60" s="26" t="n">
        <f aca="false">IF(AG60="Yes",IF(Budget1&gt;=ShortlistFinal,AK60,AK60/ShortlistFinal*Budget1),0)</f>
        <v>13.5994087213599</v>
      </c>
      <c r="AM60" s="30" t="n">
        <f aca="false">INT(AL60)</f>
        <v>13</v>
      </c>
      <c r="AN60" s="26" t="n">
        <f aca="false">IF(AND(AG60="Yes",Budget1&lt;ShortlistFinal),AL60-AM60,-1)</f>
        <v>0.599408721359941</v>
      </c>
      <c r="AO60" s="27" t="n">
        <f aca="false">IF(AG60&lt;&gt;"Yes",0,IF(Budget1&gt;=ShortlistFinal,AK60,AM60+IF(COUNTIFS($AN$5:$AN$119,"&gt;"&amp;AN60)+COUNTIFS($AN$5:$AN$119,AN60,$AF$5:$AF$119,"&lt;"&amp;AF60)&lt;Budget1-SUM($AM$5:$AM$119),1,0)))</f>
        <v>14</v>
      </c>
      <c r="AP60" s="26" t="n">
        <f aca="false">IF(AG60="Yes",IF(Budget2&gt;=ShortlistFinal,AK60,AK60/ShortlistFinal*Budget2),0)</f>
        <v>20.3991130820399</v>
      </c>
      <c r="AQ60" s="30" t="n">
        <f aca="false">INT(AP60)</f>
        <v>20</v>
      </c>
      <c r="AR60" s="26" t="n">
        <f aca="false">IF(AND(AG60="Yes",Budget2&lt;ShortlistFinal),AP60-AQ60,-1)</f>
        <v>0.399113082039911</v>
      </c>
      <c r="AS60" s="27" t="n">
        <f aca="false">IF(AG60&lt;&gt;"Yes",0,IF(Budget2&gt;=ShortlistFinal,AK60,AQ60+IF(COUNTIFS($AR$5:$AR$119,"&gt;"&amp;AR60)+COUNTIFS($AR$5:$AR$119,AR60,$AF$5:$AF$119,"&lt;"&amp;AF60)&lt;Budget2-SUM($AQ$5:$AQ$119),1,0)))</f>
        <v>20</v>
      </c>
      <c r="AT60" s="26" t="n">
        <f aca="false">AK60*Share2025</f>
        <v>8.11764705882353</v>
      </c>
      <c r="AU60" s="26" t="n">
        <f aca="false">AK60*Share2026</f>
        <v>8.11764705882353</v>
      </c>
      <c r="AV60" s="26" t="n">
        <f aca="false">AK60*Share2027</f>
        <v>6.76470588235294</v>
      </c>
      <c r="AW60" s="31" t="n">
        <f aca="false">INT(AT60)</f>
        <v>8</v>
      </c>
      <c r="AX60" s="31" t="n">
        <f aca="false">INT(AU60)</f>
        <v>8</v>
      </c>
      <c r="AY60" s="31" t="n">
        <f aca="false">INT(AV60)</f>
        <v>6</v>
      </c>
      <c r="AZ60" s="26" t="n">
        <f aca="false">AT60-AW60</f>
        <v>0.117647058823531</v>
      </c>
      <c r="BA60" s="26" t="n">
        <f aca="false">AU60-AX60</f>
        <v>0.117647058823531</v>
      </c>
      <c r="BB60" s="26" t="n">
        <f aca="false">AV60-AY60</f>
        <v>0.76470588235294</v>
      </c>
      <c r="BC60" s="31" t="n">
        <f aca="false">AK60-AW60-AX60-AY60</f>
        <v>1</v>
      </c>
      <c r="BD60" s="27" t="n">
        <f aca="false">AW60+IF((BA60&gt;AZ60)+(BB60&gt;AZ60)&lt;BC60,1,0)</f>
        <v>8</v>
      </c>
      <c r="BE60" s="27" t="n">
        <f aca="false">AX60+IF((AZ60&gt;BA60)+(BB60&gt;BA60)+(AZ60=BA60)&lt;BC60,1,0)</f>
        <v>8</v>
      </c>
      <c r="BF60" s="27" t="n">
        <f aca="false">AY60+IF((AZ60&gt;BB60)+(BA60&gt;BB60)+(AZ60=BB60)+(BA60=BB60)&lt;BC60,1,0)</f>
        <v>7</v>
      </c>
    </row>
    <row r="61" customFormat="false" ht="15" hidden="false" customHeight="false" outlineLevel="0" collapsed="false">
      <c r="A61" s="22" t="str">
        <f aca="false">'District Data'!A61</f>
        <v>Layyah</v>
      </c>
      <c r="B61" s="22" t="str">
        <f aca="false">'District Data'!C61</f>
        <v>Multan Region</v>
      </c>
      <c r="C61" s="22" t="str">
        <f aca="false">'District Data'!D61</f>
        <v>Neighbouring</v>
      </c>
      <c r="D61" s="23" t="n">
        <f aca="false">ROUND('District Data'!E61*'District Data'!F61,0)</f>
        <v>437010</v>
      </c>
      <c r="E61" s="23" t="n">
        <f aca="false">'District Data'!I61</f>
        <v>80</v>
      </c>
      <c r="F61" s="23" t="n">
        <f aca="false">'District Data'!L61</f>
        <v>71850</v>
      </c>
      <c r="G61" s="24" t="n">
        <f aca="false">IFERROR(F61/(E61*Weeks),0)</f>
        <v>17.2716346153846</v>
      </c>
      <c r="H61" s="25" t="n">
        <f aca="false">IFERROR('District Data'!N61/('District Data'!M61*Weeks),0)</f>
        <v>6.10753205128205</v>
      </c>
      <c r="I61" s="24" t="n">
        <f aca="false">IFERROR(SUMIFS('District Data'!$N$5:$N$119,'District Data'!$C$5:$C$119,B61)/(SUMIFS('District Data'!$M$5:$M$119,'District Data'!$C$5:$C$119,B61)*Weeks),0)</f>
        <v>8.16663285109386</v>
      </c>
      <c r="J61" s="24" t="n">
        <f aca="false">IF(TPBasis="NI TP",IF(H61&gt;0,H61,I61),G61)</f>
        <v>6.10753205128205</v>
      </c>
      <c r="K61" s="26" t="n">
        <f aca="false">IFERROR(F61/D61,0)</f>
        <v>0.164412713667879</v>
      </c>
      <c r="L61" s="27" t="n">
        <f aca="false">IFERROR(D61/E61,0)</f>
        <v>5462.625</v>
      </c>
      <c r="M61" s="28" t="n">
        <f aca="false">IFERROR('District Data'!L61/'District Data'!K61-1,0)</f>
        <v>0.0526022789535214</v>
      </c>
      <c r="N61" s="28" t="n">
        <f aca="false">IFERROR(('District Data'!L61/'District Data'!J61)^(1/2)-1,0)</f>
        <v>0.0696010197452661</v>
      </c>
      <c r="O61" s="28" t="n">
        <f aca="false">IFERROR('District Data'!I61/'District Data'!H61-1,0)</f>
        <v>0.126760563380282</v>
      </c>
      <c r="P61" s="7" t="str">
        <f aca="false">IF(K61&gt;=PCC_L1,"Layer 01",IF(K61&gt;=PCC_L2,"Layer 02",IF(K61&gt;=PCC_L3,"Layer 03",IF(K61&gt;=PCC_L4,"Layer 04","Layer 05"))))</f>
        <v>Layer 05</v>
      </c>
      <c r="Q61" s="7" t="str">
        <f aca="false">IF(L61&gt;=PPO_L1,"Layer 01",IF(L61&gt;=PPO_L2,"Layer 02",IF(L61&gt;=PPO_L3,"Layer 03",IF(L61&gt;=PPO_L4,"Layer 04","Layer 05"))))</f>
        <v>Layer 03</v>
      </c>
      <c r="R61" s="29" t="n">
        <f aca="false">D61/IdealPPO-E61</f>
        <v>502.68</v>
      </c>
      <c r="S61" s="29" t="n">
        <f aca="false">IdealTP*Weeks-(Weeks*J61+FirstFill)</f>
        <v>382.408333333333</v>
      </c>
      <c r="T61" s="29" t="n">
        <f aca="false">IF(S61&gt;0,(F61-IdealTP*Weeks*E61)/S61,1000000000000)</f>
        <v>24.7118045719018</v>
      </c>
      <c r="U61" s="27" t="n">
        <f aca="false">IF(E61&lt;=0,0,IF(G61&lt;=IdealTP,0,IF(L61&lt;=IdealPPO,0,INT(MIN(T61,R61)+0.000000001))))</f>
        <v>24</v>
      </c>
      <c r="V61" s="7" t="str">
        <f aca="false">IF(E61&lt;=0,"No current outlets",IF(G61&lt;=IdealTP,"TP already at or below ideal",IF(L61&lt;=IdealPPO,"PPO already at or below ideal",IF(T61&lt;=R61,"Stopped by TP reaching ideal","Stopped by PPO reaching ideal"))))</f>
        <v>Stopped by TP reaching ideal</v>
      </c>
      <c r="W61" s="30" t="n">
        <f aca="false">F61+U61*(Weeks*J61+FirstFill)</f>
        <v>81392.2</v>
      </c>
      <c r="X61" s="30" t="n">
        <f aca="false">E61+U61</f>
        <v>104</v>
      </c>
      <c r="Y61" s="24" t="n">
        <f aca="false">IFERROR(W61/(X61*Weeks),0)</f>
        <v>15.0503328402367</v>
      </c>
      <c r="Z61" s="30" t="n">
        <f aca="false">IFERROR(D61/X61,0)</f>
        <v>4202.01923076923</v>
      </c>
      <c r="AA61" s="7" t="str">
        <f aca="false">IF(AND(K61&gt;=NationalPCC,L61&gt;IdealPPO),"Q1: High PCC, High PPO",IF(K61&gt;=NationalPCC,"Q2: High PCC, Low PPO",IF(L61&gt;IdealPPO,"Q3: Low PCC, High PPO","Q4: Low PCC, Low PPO")))</f>
        <v>Q3: Low PCC, High PPO</v>
      </c>
      <c r="AB61" s="7" t="str">
        <f aca="false">IF(K61&gt;=NationalPCC,IF(L61&gt;IdealPPO,"Phase 1","Phase 2"),"Phase 3")</f>
        <v>Phase 3</v>
      </c>
      <c r="AC61" s="7" t="str">
        <f aca="false">IF(AND(G61&gt;IdealTP,L61&gt;IdealPPO),"High TP, High PPO",IF(G61&gt;IdealTP,"High TP, Low PPO",IF(L61&gt;IdealPPO,"Low TP, High PPO","Low TP, Low PPO")))</f>
        <v>High TP, High PPO</v>
      </c>
      <c r="AD61" s="31" t="n">
        <f aca="false">INDEX(WaveNumbers,MATCH(C61,WaveNames,0))</f>
        <v>2</v>
      </c>
      <c r="AE61" s="32" t="n">
        <f aca="false">IF(U61&gt;0,AD61*10000000+VALUE(RIGHT(AB61,1))*1000000+(1000000-U61)+ROW()/1000000,"")</f>
        <v>23999976.000061</v>
      </c>
      <c r="AF61" s="31" t="n">
        <f aca="false">IF(U61&gt;0,COUNTIFS($AE$5:$AE$119,"&lt;"&amp;AE61)+1,"")</f>
        <v>31</v>
      </c>
      <c r="AG61" s="7" t="str">
        <f aca="false">IF(AF61="","No",IF(AF61&lt;=TopN,"Yes","No"))</f>
        <v>Yes</v>
      </c>
      <c r="AH61" s="30" t="n">
        <f aca="false">INT('District Data'!O61*ConvRate)</f>
        <v>57</v>
      </c>
      <c r="AI61" s="27" t="n">
        <f aca="false">MIN(U61,AH61)</f>
        <v>24</v>
      </c>
      <c r="AJ61" s="7" t="str">
        <f aca="false">IF(U61=0,"No expansion",IF(AH61&lt;U61,"Supply constrained (not enough shops)","Demand constrained (enough shops)"))</f>
        <v>Demand constrained (enough shops)</v>
      </c>
      <c r="AK61" s="30" t="n">
        <f aca="false">IF(AG61="Yes",AI61,0)</f>
        <v>24</v>
      </c>
      <c r="AL61" s="26" t="n">
        <f aca="false">IF(AG61="Yes",IF(Budget1&gt;=ShortlistFinal,AK61,AK61/ShortlistFinal*Budget1),0)</f>
        <v>14.1906873614191</v>
      </c>
      <c r="AM61" s="30" t="n">
        <f aca="false">INT(AL61)</f>
        <v>14</v>
      </c>
      <c r="AN61" s="26" t="n">
        <f aca="false">IF(AND(AG61="Yes",Budget1&lt;ShortlistFinal),AL61-AM61,-1)</f>
        <v>0.190687361419069</v>
      </c>
      <c r="AO61" s="27" t="n">
        <f aca="false">IF(AG61&lt;&gt;"Yes",0,IF(Budget1&gt;=ShortlistFinal,AK61,AM61+IF(COUNTIFS($AN$5:$AN$119,"&gt;"&amp;AN61)+COUNTIFS($AN$5:$AN$119,AN61,$AF$5:$AF$119,"&lt;"&amp;AF61)&lt;Budget1-SUM($AM$5:$AM$119),1,0)))</f>
        <v>14</v>
      </c>
      <c r="AP61" s="26" t="n">
        <f aca="false">IF(AG61="Yes",IF(Budget2&gt;=ShortlistFinal,AK61,AK61/ShortlistFinal*Budget2),0)</f>
        <v>21.2860310421286</v>
      </c>
      <c r="AQ61" s="30" t="n">
        <f aca="false">INT(AP61)</f>
        <v>21</v>
      </c>
      <c r="AR61" s="26" t="n">
        <f aca="false">IF(AND(AG61="Yes",Budget2&lt;ShortlistFinal),AP61-AQ61,-1)</f>
        <v>0.286031042128602</v>
      </c>
      <c r="AS61" s="27" t="n">
        <f aca="false">IF(AG61&lt;&gt;"Yes",0,IF(Budget2&gt;=ShortlistFinal,AK61,AQ61+IF(COUNTIFS($AR$5:$AR$119,"&gt;"&amp;AR61)+COUNTIFS($AR$5:$AR$119,AR61,$AF$5:$AF$119,"&lt;"&amp;AF61)&lt;Budget2-SUM($AQ$5:$AQ$119),1,0)))</f>
        <v>21</v>
      </c>
      <c r="AT61" s="26" t="n">
        <f aca="false">AK61*Share2025</f>
        <v>8.47058823529412</v>
      </c>
      <c r="AU61" s="26" t="n">
        <f aca="false">AK61*Share2026</f>
        <v>8.47058823529412</v>
      </c>
      <c r="AV61" s="26" t="n">
        <f aca="false">AK61*Share2027</f>
        <v>7.05882352941176</v>
      </c>
      <c r="AW61" s="31" t="n">
        <f aca="false">INT(AT61)</f>
        <v>8</v>
      </c>
      <c r="AX61" s="31" t="n">
        <f aca="false">INT(AU61)</f>
        <v>8</v>
      </c>
      <c r="AY61" s="31" t="n">
        <f aca="false">INT(AV61)</f>
        <v>7</v>
      </c>
      <c r="AZ61" s="26" t="n">
        <f aca="false">AT61-AW61</f>
        <v>0.47058823529412</v>
      </c>
      <c r="BA61" s="26" t="n">
        <f aca="false">AU61-AX61</f>
        <v>0.47058823529412</v>
      </c>
      <c r="BB61" s="26" t="n">
        <f aca="false">AV61-AY61</f>
        <v>0.0588235294117636</v>
      </c>
      <c r="BC61" s="31" t="n">
        <f aca="false">AK61-AW61-AX61-AY61</f>
        <v>1</v>
      </c>
      <c r="BD61" s="27" t="n">
        <f aca="false">AW61+IF((BA61&gt;AZ61)+(BB61&gt;AZ61)&lt;BC61,1,0)</f>
        <v>9</v>
      </c>
      <c r="BE61" s="27" t="n">
        <f aca="false">AX61+IF((AZ61&gt;BA61)+(BB61&gt;BA61)+(AZ61=BA61)&lt;BC61,1,0)</f>
        <v>8</v>
      </c>
      <c r="BF61" s="27" t="n">
        <f aca="false">AY61+IF((AZ61&gt;BB61)+(BA61&gt;BB61)+(AZ61=BB61)+(BA61=BB61)&lt;BC61,1,0)</f>
        <v>7</v>
      </c>
    </row>
    <row r="62" customFormat="false" ht="15" hidden="false" customHeight="false" outlineLevel="0" collapsed="false">
      <c r="A62" s="22" t="str">
        <f aca="false">'District Data'!A62</f>
        <v>Lodhran</v>
      </c>
      <c r="B62" s="22" t="str">
        <f aca="false">'District Data'!C62</f>
        <v>Multan Region</v>
      </c>
      <c r="C62" s="22" t="str">
        <f aca="false">'District Data'!D62</f>
        <v>Neighbouring</v>
      </c>
      <c r="D62" s="23" t="n">
        <f aca="false">ROUND('District Data'!E62*'District Data'!F62,0)</f>
        <v>419456</v>
      </c>
      <c r="E62" s="23" t="n">
        <f aca="false">'District Data'!I62</f>
        <v>110</v>
      </c>
      <c r="F62" s="23" t="n">
        <f aca="false">'District Data'!L62</f>
        <v>82401.2</v>
      </c>
      <c r="G62" s="24" t="n">
        <f aca="false">IFERROR(F62/(E62*Weeks),0)</f>
        <v>14.4058041958042</v>
      </c>
      <c r="H62" s="25" t="n">
        <f aca="false">IFERROR('District Data'!N62/('District Data'!M62*Weeks),0)</f>
        <v>7.83051282051282</v>
      </c>
      <c r="I62" s="24" t="n">
        <f aca="false">IFERROR(SUMIFS('District Data'!$N$5:$N$119,'District Data'!$C$5:$C$119,B62)/(SUMIFS('District Data'!$M$5:$M$119,'District Data'!$C$5:$C$119,B62)*Weeks),0)</f>
        <v>8.16663285109386</v>
      </c>
      <c r="J62" s="24" t="n">
        <f aca="false">IF(TPBasis="NI TP",IF(H62&gt;0,H62,I62),G62)</f>
        <v>7.83051282051282</v>
      </c>
      <c r="K62" s="26" t="n">
        <f aca="false">IFERROR(F62/D62,0)</f>
        <v>0.196447779981691</v>
      </c>
      <c r="L62" s="27" t="n">
        <f aca="false">IFERROR(D62/E62,0)</f>
        <v>3813.23636363636</v>
      </c>
      <c r="M62" s="28" t="n">
        <f aca="false">IFERROR('District Data'!L62/'District Data'!K62-1,0)</f>
        <v>-0.0209552913387885</v>
      </c>
      <c r="N62" s="28" t="n">
        <f aca="false">IFERROR(('District Data'!L62/'District Data'!J62)^(1/2)-1,0)</f>
        <v>-0.0161826359959335</v>
      </c>
      <c r="O62" s="28" t="n">
        <f aca="false">IFERROR('District Data'!I62/'District Data'!H62-1,0)</f>
        <v>0.1</v>
      </c>
      <c r="P62" s="7" t="str">
        <f aca="false">IF(K62&gt;=PCC_L1,"Layer 01",IF(K62&gt;=PCC_L2,"Layer 02",IF(K62&gt;=PCC_L3,"Layer 03",IF(K62&gt;=PCC_L4,"Layer 04","Layer 05"))))</f>
        <v>Layer 05</v>
      </c>
      <c r="Q62" s="7" t="str">
        <f aca="false">IF(L62&gt;=PPO_L1,"Layer 01",IF(L62&gt;=PPO_L2,"Layer 02",IF(L62&gt;=PPO_L3,"Layer 03",IF(L62&gt;=PPO_L4,"Layer 04","Layer 05"))))</f>
        <v>Layer 03</v>
      </c>
      <c r="R62" s="29" t="n">
        <f aca="false">D62/IdealPPO-E62</f>
        <v>449.274666666667</v>
      </c>
      <c r="S62" s="29" t="n">
        <f aca="false">IdealTP*Weeks-(Weeks*J62+FirstFill)</f>
        <v>292.813333333333</v>
      </c>
      <c r="T62" s="29" t="n">
        <f aca="false">IF(S62&gt;0,(F62-IdealTP*Weeks*E62)/S62,1000000000000)</f>
        <v>-11.6073949273713</v>
      </c>
      <c r="U62" s="27" t="n">
        <f aca="false">IF(E62&lt;=0,0,IF(G62&lt;=IdealTP,0,IF(L62&lt;=IdealPPO,0,INT(MIN(T62,R62)+0.000000001))))</f>
        <v>0</v>
      </c>
      <c r="V62" s="7" t="str">
        <f aca="false">IF(E62&lt;=0,"No current outlets",IF(G62&lt;=IdealTP,"TP already at or below ideal",IF(L62&lt;=IdealPPO,"PPO already at or below ideal",IF(T62&lt;=R62,"Stopped by TP reaching ideal","Stopped by PPO reaching ideal"))))</f>
        <v>TP already at or below ideal</v>
      </c>
      <c r="W62" s="30" t="n">
        <f aca="false">F62+U62*(Weeks*J62+FirstFill)</f>
        <v>82401.2</v>
      </c>
      <c r="X62" s="30" t="n">
        <f aca="false">E62+U62</f>
        <v>110</v>
      </c>
      <c r="Y62" s="24" t="n">
        <f aca="false">IFERROR(W62/(X62*Weeks),0)</f>
        <v>14.4058041958042</v>
      </c>
      <c r="Z62" s="30" t="n">
        <f aca="false">IFERROR(D62/X62,0)</f>
        <v>3813.23636363636</v>
      </c>
      <c r="AA62" s="7" t="str">
        <f aca="false">IF(AND(K62&gt;=NationalPCC,L62&gt;IdealPPO),"Q1: High PCC, High PPO",IF(K62&gt;=NationalPCC,"Q2: High PCC, Low PPO",IF(L62&gt;IdealPPO,"Q3: Low PCC, High PPO","Q4: Low PCC, Low PPO")))</f>
        <v>Q3: Low PCC, High PPO</v>
      </c>
      <c r="AB62" s="7" t="str">
        <f aca="false">IF(K62&gt;=NationalPCC,IF(L62&gt;IdealPPO,"Phase 1","Phase 2"),"Phase 3")</f>
        <v>Phase 3</v>
      </c>
      <c r="AC62" s="7" t="str">
        <f aca="false">IF(AND(G62&gt;IdealTP,L62&gt;IdealPPO),"High TP, High PPO",IF(G62&gt;IdealTP,"High TP, Low PPO",IF(L62&gt;IdealPPO,"Low TP, High PPO","Low TP, Low PPO")))</f>
        <v>Low TP, High PPO</v>
      </c>
      <c r="AD62" s="31" t="n">
        <f aca="false">INDEX(WaveNumbers,MATCH(C62,WaveNames,0))</f>
        <v>2</v>
      </c>
      <c r="AE62" s="32" t="str">
        <f aca="false">IF(U62&gt;0,AD62*10000000+VALUE(RIGHT(AB62,1))*1000000+(1000000-U62)+ROW()/1000000,"")</f>
        <v/>
      </c>
      <c r="AF62" s="31" t="str">
        <f aca="false">IF(U62&gt;0,COUNTIFS($AE$5:$AE$119,"&lt;"&amp;AE62)+1,"")</f>
        <v/>
      </c>
      <c r="AG62" s="7" t="str">
        <f aca="false">IF(AF62="","No",IF(AF62&lt;=TopN,"Yes","No"))</f>
        <v>No</v>
      </c>
      <c r="AH62" s="30" t="n">
        <f aca="false">INT('District Data'!O62*ConvRate)</f>
        <v>62</v>
      </c>
      <c r="AI62" s="27" t="n">
        <f aca="false">MIN(U62,AH62)</f>
        <v>0</v>
      </c>
      <c r="AJ62" s="7" t="str">
        <f aca="false">IF(U62=0,"No expansion",IF(AH62&lt;U62,"Supply constrained (not enough shops)","Demand constrained (enough shops)"))</f>
        <v>No expansion</v>
      </c>
      <c r="AK62" s="30" t="n">
        <f aca="false">IF(AG62="Yes",AI62,0)</f>
        <v>0</v>
      </c>
      <c r="AL62" s="26" t="n">
        <f aca="false">IF(AG62="Yes",IF(Budget1&gt;=ShortlistFinal,AK62,AK62/ShortlistFinal*Budget1),0)</f>
        <v>0</v>
      </c>
      <c r="AM62" s="30" t="n">
        <f aca="false">INT(AL62)</f>
        <v>0</v>
      </c>
      <c r="AN62" s="26" t="n">
        <f aca="false">IF(AND(AG62="Yes",Budget1&lt;ShortlistFinal),AL62-AM62,-1)</f>
        <v>-1</v>
      </c>
      <c r="AO62" s="27" t="n">
        <f aca="false">IF(AG62&lt;&gt;"Yes",0,IF(Budget1&gt;=ShortlistFinal,AK62,AM62+IF(COUNTIFS($AN$5:$AN$119,"&gt;"&amp;AN62)+COUNTIFS($AN$5:$AN$119,AN62,$AF$5:$AF$119,"&lt;"&amp;AF62)&lt;Budget1-SUM($AM$5:$AM$119),1,0)))</f>
        <v>0</v>
      </c>
      <c r="AP62" s="26" t="n">
        <f aca="false">IF(AG62="Yes",IF(Budget2&gt;=ShortlistFinal,AK62,AK62/ShortlistFinal*Budget2),0)</f>
        <v>0</v>
      </c>
      <c r="AQ62" s="30" t="n">
        <f aca="false">INT(AP62)</f>
        <v>0</v>
      </c>
      <c r="AR62" s="26" t="n">
        <f aca="false">IF(AND(AG62="Yes",Budget2&lt;ShortlistFinal),AP62-AQ62,-1)</f>
        <v>-1</v>
      </c>
      <c r="AS62" s="27" t="n">
        <f aca="false">IF(AG62&lt;&gt;"Yes",0,IF(Budget2&gt;=ShortlistFinal,AK62,AQ62+IF(COUNTIFS($AR$5:$AR$119,"&gt;"&amp;AR62)+COUNTIFS($AR$5:$AR$119,AR62,$AF$5:$AF$119,"&lt;"&amp;AF62)&lt;Budget2-SUM($AQ$5:$AQ$119),1,0)))</f>
        <v>0</v>
      </c>
      <c r="AT62" s="26" t="n">
        <f aca="false">AK62*Share2025</f>
        <v>0</v>
      </c>
      <c r="AU62" s="26" t="n">
        <f aca="false">AK62*Share2026</f>
        <v>0</v>
      </c>
      <c r="AV62" s="26" t="n">
        <f aca="false">AK62*Share2027</f>
        <v>0</v>
      </c>
      <c r="AW62" s="31" t="n">
        <f aca="false">INT(AT62)</f>
        <v>0</v>
      </c>
      <c r="AX62" s="31" t="n">
        <f aca="false">INT(AU62)</f>
        <v>0</v>
      </c>
      <c r="AY62" s="31" t="n">
        <f aca="false">INT(AV62)</f>
        <v>0</v>
      </c>
      <c r="AZ62" s="26" t="n">
        <f aca="false">AT62-AW62</f>
        <v>0</v>
      </c>
      <c r="BA62" s="26" t="n">
        <f aca="false">AU62-AX62</f>
        <v>0</v>
      </c>
      <c r="BB62" s="26" t="n">
        <f aca="false">AV62-AY62</f>
        <v>0</v>
      </c>
      <c r="BC62" s="31" t="n">
        <f aca="false">AK62-AW62-AX62-AY62</f>
        <v>0</v>
      </c>
      <c r="BD62" s="27" t="n">
        <f aca="false">AW62+IF((BA62&gt;AZ62)+(BB62&gt;AZ62)&lt;BC62,1,0)</f>
        <v>0</v>
      </c>
      <c r="BE62" s="27" t="n">
        <f aca="false">AX62+IF((AZ62&gt;BA62)+(BB62&gt;BA62)+(AZ62=BA62)&lt;BC62,1,0)</f>
        <v>0</v>
      </c>
      <c r="BF62" s="27" t="n">
        <f aca="false">AY62+IF((AZ62&gt;BB62)+(BA62&gt;BB62)+(AZ62=BB62)+(BA62=BB62)&lt;BC62,1,0)</f>
        <v>0</v>
      </c>
    </row>
    <row r="63" customFormat="false" ht="15" hidden="false" customHeight="false" outlineLevel="0" collapsed="false">
      <c r="A63" s="22" t="str">
        <f aca="false">'District Data'!A63</f>
        <v>Loralai</v>
      </c>
      <c r="B63" s="22" t="str">
        <f aca="false">'District Data'!C63</f>
        <v>Multan Region</v>
      </c>
      <c r="C63" s="22" t="str">
        <f aca="false">'District Data'!D63</f>
        <v>Rest</v>
      </c>
      <c r="D63" s="23" t="n">
        <f aca="false">ROUND('District Data'!E63*'District Data'!F63,0)</f>
        <v>86646</v>
      </c>
      <c r="E63" s="23" t="n">
        <f aca="false">'District Data'!I63</f>
        <v>6</v>
      </c>
      <c r="F63" s="23" t="n">
        <f aca="false">'District Data'!L63</f>
        <v>2780.3</v>
      </c>
      <c r="G63" s="24" t="n">
        <f aca="false">IFERROR(F63/(E63*Weeks),0)</f>
        <v>8.91121794871795</v>
      </c>
      <c r="H63" s="25" t="n">
        <f aca="false">IFERROR('District Data'!N63/('District Data'!M63*Weeks),0)</f>
        <v>3.79807692307692</v>
      </c>
      <c r="I63" s="24" t="n">
        <f aca="false">IFERROR(SUMIFS('District Data'!$N$5:$N$119,'District Data'!$C$5:$C$119,B63)/(SUMIFS('District Data'!$M$5:$M$119,'District Data'!$C$5:$C$119,B63)*Weeks),0)</f>
        <v>8.16663285109386</v>
      </c>
      <c r="J63" s="24" t="n">
        <f aca="false">IF(TPBasis="NI TP",IF(H63&gt;0,H63,I63),G63)</f>
        <v>3.79807692307692</v>
      </c>
      <c r="K63" s="26" t="n">
        <f aca="false">IFERROR(F63/D63,0)</f>
        <v>0.0320880363779055</v>
      </c>
      <c r="L63" s="27" t="n">
        <f aca="false">IFERROR(D63/E63,0)</f>
        <v>14441</v>
      </c>
      <c r="M63" s="28" t="n">
        <f aca="false">IFERROR('District Data'!L63/'District Data'!K63-1,0)</f>
        <v>0.201460611036688</v>
      </c>
      <c r="N63" s="28" t="n">
        <f aca="false">IFERROR(('District Data'!L63/'District Data'!J63)^(1/2)-1,0)</f>
        <v>0.183999786051347</v>
      </c>
      <c r="O63" s="28" t="n">
        <f aca="false">IFERROR('District Data'!I63/'District Data'!H63-1,0)</f>
        <v>0.2</v>
      </c>
      <c r="P63" s="7" t="str">
        <f aca="false">IF(K63&gt;=PCC_L1,"Layer 01",IF(K63&gt;=PCC_L2,"Layer 02",IF(K63&gt;=PCC_L3,"Layer 03",IF(K63&gt;=PCC_L4,"Layer 04","Layer 05"))))</f>
        <v>Layer 05</v>
      </c>
      <c r="Q63" s="7" t="str">
        <f aca="false">IF(L63&gt;=PPO_L1,"Layer 01",IF(L63&gt;=PPO_L2,"Layer 02",IF(L63&gt;=PPO_L3,"Layer 03",IF(L63&gt;=PPO_L4,"Layer 04","Layer 05"))))</f>
        <v>Layer 03</v>
      </c>
      <c r="R63" s="29" t="n">
        <f aca="false">D63/IdealPPO-E63</f>
        <v>109.528</v>
      </c>
      <c r="S63" s="29" t="n">
        <f aca="false">IdealTP*Weeks-(Weeks*J63+FirstFill)</f>
        <v>502.5</v>
      </c>
      <c r="T63" s="29" t="n">
        <f aca="false">IF(S63&gt;0,(F63-IdealTP*Weeks*E63)/S63,1000000000000)</f>
        <v>-3.78049751243781</v>
      </c>
      <c r="U63" s="27" t="n">
        <f aca="false">IF(E63&lt;=0,0,IF(G63&lt;=IdealTP,0,IF(L63&lt;=IdealPPO,0,INT(MIN(T63,R63)+0.000000001))))</f>
        <v>0</v>
      </c>
      <c r="V63" s="7" t="str">
        <f aca="false">IF(E63&lt;=0,"No current outlets",IF(G63&lt;=IdealTP,"TP already at or below ideal",IF(L63&lt;=IdealPPO,"PPO already at or below ideal",IF(T63&lt;=R63,"Stopped by TP reaching ideal","Stopped by PPO reaching ideal"))))</f>
        <v>TP already at or below ideal</v>
      </c>
      <c r="W63" s="30" t="n">
        <f aca="false">F63+U63*(Weeks*J63+FirstFill)</f>
        <v>2780.3</v>
      </c>
      <c r="X63" s="30" t="n">
        <f aca="false">E63+U63</f>
        <v>6</v>
      </c>
      <c r="Y63" s="24" t="n">
        <f aca="false">IFERROR(W63/(X63*Weeks),0)</f>
        <v>8.91121794871795</v>
      </c>
      <c r="Z63" s="30" t="n">
        <f aca="false">IFERROR(D63/X63,0)</f>
        <v>14441</v>
      </c>
      <c r="AA63" s="7" t="str">
        <f aca="false">IF(AND(K63&gt;=NationalPCC,L63&gt;IdealPPO),"Q1: High PCC, High PPO",IF(K63&gt;=NationalPCC,"Q2: High PCC, Low PPO",IF(L63&gt;IdealPPO,"Q3: Low PCC, High PPO","Q4: Low PCC, Low PPO")))</f>
        <v>Q3: Low PCC, High PPO</v>
      </c>
      <c r="AB63" s="7" t="str">
        <f aca="false">IF(K63&gt;=NationalPCC,IF(L63&gt;IdealPPO,"Phase 1","Phase 2"),"Phase 3")</f>
        <v>Phase 3</v>
      </c>
      <c r="AC63" s="7" t="str">
        <f aca="false">IF(AND(G63&gt;IdealTP,L63&gt;IdealPPO),"High TP, High PPO",IF(G63&gt;IdealTP,"High TP, Low PPO",IF(L63&gt;IdealPPO,"Low TP, High PPO","Low TP, Low PPO")))</f>
        <v>Low TP, High PPO</v>
      </c>
      <c r="AD63" s="31" t="n">
        <f aca="false">INDEX(WaveNumbers,MATCH(C63,WaveNames,0))</f>
        <v>4</v>
      </c>
      <c r="AE63" s="32" t="str">
        <f aca="false">IF(U63&gt;0,AD63*10000000+VALUE(RIGHT(AB63,1))*1000000+(1000000-U63)+ROW()/1000000,"")</f>
        <v/>
      </c>
      <c r="AF63" s="31" t="str">
        <f aca="false">IF(U63&gt;0,COUNTIFS($AE$5:$AE$119,"&lt;"&amp;AE63)+1,"")</f>
        <v/>
      </c>
      <c r="AG63" s="7" t="str">
        <f aca="false">IF(AF63="","No",IF(AF63&lt;=TopN,"Yes","No"))</f>
        <v>No</v>
      </c>
      <c r="AH63" s="30" t="n">
        <f aca="false">INT('District Data'!O63*ConvRate)</f>
        <v>4</v>
      </c>
      <c r="AI63" s="27" t="n">
        <f aca="false">MIN(U63,AH63)</f>
        <v>0</v>
      </c>
      <c r="AJ63" s="7" t="str">
        <f aca="false">IF(U63=0,"No expansion",IF(AH63&lt;U63,"Supply constrained (not enough shops)","Demand constrained (enough shops)"))</f>
        <v>No expansion</v>
      </c>
      <c r="AK63" s="30" t="n">
        <f aca="false">IF(AG63="Yes",AI63,0)</f>
        <v>0</v>
      </c>
      <c r="AL63" s="26" t="n">
        <f aca="false">IF(AG63="Yes",IF(Budget1&gt;=ShortlistFinal,AK63,AK63/ShortlistFinal*Budget1),0)</f>
        <v>0</v>
      </c>
      <c r="AM63" s="30" t="n">
        <f aca="false">INT(AL63)</f>
        <v>0</v>
      </c>
      <c r="AN63" s="26" t="n">
        <f aca="false">IF(AND(AG63="Yes",Budget1&lt;ShortlistFinal),AL63-AM63,-1)</f>
        <v>-1</v>
      </c>
      <c r="AO63" s="27" t="n">
        <f aca="false">IF(AG63&lt;&gt;"Yes",0,IF(Budget1&gt;=ShortlistFinal,AK63,AM63+IF(COUNTIFS($AN$5:$AN$119,"&gt;"&amp;AN63)+COUNTIFS($AN$5:$AN$119,AN63,$AF$5:$AF$119,"&lt;"&amp;AF63)&lt;Budget1-SUM($AM$5:$AM$119),1,0)))</f>
        <v>0</v>
      </c>
      <c r="AP63" s="26" t="n">
        <f aca="false">IF(AG63="Yes",IF(Budget2&gt;=ShortlistFinal,AK63,AK63/ShortlistFinal*Budget2),0)</f>
        <v>0</v>
      </c>
      <c r="AQ63" s="30" t="n">
        <f aca="false">INT(AP63)</f>
        <v>0</v>
      </c>
      <c r="AR63" s="26" t="n">
        <f aca="false">IF(AND(AG63="Yes",Budget2&lt;ShortlistFinal),AP63-AQ63,-1)</f>
        <v>-1</v>
      </c>
      <c r="AS63" s="27" t="n">
        <f aca="false">IF(AG63&lt;&gt;"Yes",0,IF(Budget2&gt;=ShortlistFinal,AK63,AQ63+IF(COUNTIFS($AR$5:$AR$119,"&gt;"&amp;AR63)+COUNTIFS($AR$5:$AR$119,AR63,$AF$5:$AF$119,"&lt;"&amp;AF63)&lt;Budget2-SUM($AQ$5:$AQ$119),1,0)))</f>
        <v>0</v>
      </c>
      <c r="AT63" s="26" t="n">
        <f aca="false">AK63*Share2025</f>
        <v>0</v>
      </c>
      <c r="AU63" s="26" t="n">
        <f aca="false">AK63*Share2026</f>
        <v>0</v>
      </c>
      <c r="AV63" s="26" t="n">
        <f aca="false">AK63*Share2027</f>
        <v>0</v>
      </c>
      <c r="AW63" s="31" t="n">
        <f aca="false">INT(AT63)</f>
        <v>0</v>
      </c>
      <c r="AX63" s="31" t="n">
        <f aca="false">INT(AU63)</f>
        <v>0</v>
      </c>
      <c r="AY63" s="31" t="n">
        <f aca="false">INT(AV63)</f>
        <v>0</v>
      </c>
      <c r="AZ63" s="26" t="n">
        <f aca="false">AT63-AW63</f>
        <v>0</v>
      </c>
      <c r="BA63" s="26" t="n">
        <f aca="false">AU63-AX63</f>
        <v>0</v>
      </c>
      <c r="BB63" s="26" t="n">
        <f aca="false">AV63-AY63</f>
        <v>0</v>
      </c>
      <c r="BC63" s="31" t="n">
        <f aca="false">AK63-AW63-AX63-AY63</f>
        <v>0</v>
      </c>
      <c r="BD63" s="27" t="n">
        <f aca="false">AW63+IF((BA63&gt;AZ63)+(BB63&gt;AZ63)&lt;BC63,1,0)</f>
        <v>0</v>
      </c>
      <c r="BE63" s="27" t="n">
        <f aca="false">AX63+IF((AZ63&gt;BA63)+(BB63&gt;BA63)+(AZ63=BA63)&lt;BC63,1,0)</f>
        <v>0</v>
      </c>
      <c r="BF63" s="27" t="n">
        <f aca="false">AY63+IF((AZ63&gt;BB63)+(BA63&gt;BB63)+(AZ63=BB63)+(BA63=BB63)&lt;BC63,1,0)</f>
        <v>0</v>
      </c>
    </row>
    <row r="64" customFormat="false" ht="15" hidden="false" customHeight="false" outlineLevel="0" collapsed="false">
      <c r="A64" s="22" t="str">
        <f aca="false">'District Data'!A64</f>
        <v>Lower Dir</v>
      </c>
      <c r="B64" s="22" t="str">
        <f aca="false">'District Data'!C64</f>
        <v>Peshawar Region</v>
      </c>
      <c r="C64" s="22" t="str">
        <f aca="false">'District Data'!D64</f>
        <v>Rest</v>
      </c>
      <c r="D64" s="23" t="n">
        <f aca="false">ROUND('District Data'!E64*'District Data'!F64,0)</f>
        <v>258394</v>
      </c>
      <c r="E64" s="23" t="n">
        <f aca="false">'District Data'!I64</f>
        <v>33</v>
      </c>
      <c r="F64" s="23" t="n">
        <f aca="false">'District Data'!L64</f>
        <v>17658.8</v>
      </c>
      <c r="G64" s="24" t="n">
        <f aca="false">IFERROR(F64/(E64*Weeks),0)</f>
        <v>10.290675990676</v>
      </c>
      <c r="H64" s="25" t="n">
        <f aca="false">IFERROR('District Data'!N64/('District Data'!M64*Weeks),0)</f>
        <v>4.375</v>
      </c>
      <c r="I64" s="24" t="n">
        <f aca="false">IFERROR(SUMIFS('District Data'!$N$5:$N$119,'District Data'!$C$5:$C$119,B64)/(SUMIFS('District Data'!$M$5:$M$119,'District Data'!$C$5:$C$119,B64)*Weeks),0)</f>
        <v>7.60397053195561</v>
      </c>
      <c r="J64" s="24" t="n">
        <f aca="false">IF(TPBasis="NI TP",IF(H64&gt;0,H64,I64),G64)</f>
        <v>4.375</v>
      </c>
      <c r="K64" s="26" t="n">
        <f aca="false">IFERROR(F64/D64,0)</f>
        <v>0.0683405961438733</v>
      </c>
      <c r="L64" s="27" t="n">
        <f aca="false">IFERROR(D64/E64,0)</f>
        <v>7830.12121212121</v>
      </c>
      <c r="M64" s="28" t="n">
        <f aca="false">IFERROR('District Data'!L64/'District Data'!K64-1,0)</f>
        <v>0.0822133563763612</v>
      </c>
      <c r="N64" s="28" t="n">
        <f aca="false">IFERROR(('District Data'!L64/'District Data'!J64)^(1/2)-1,0)</f>
        <v>0.0452389308726111</v>
      </c>
      <c r="O64" s="28" t="n">
        <f aca="false">IFERROR('District Data'!I64/'District Data'!H64-1,0)</f>
        <v>0.137931034482759</v>
      </c>
      <c r="P64" s="7" t="str">
        <f aca="false">IF(K64&gt;=PCC_L1,"Layer 01",IF(K64&gt;=PCC_L2,"Layer 02",IF(K64&gt;=PCC_L3,"Layer 03",IF(K64&gt;=PCC_L4,"Layer 04","Layer 05"))))</f>
        <v>Layer 05</v>
      </c>
      <c r="Q64" s="7" t="str">
        <f aca="false">IF(L64&gt;=PPO_L1,"Layer 01",IF(L64&gt;=PPO_L2,"Layer 02",IF(L64&gt;=PPO_L3,"Layer 03",IF(L64&gt;=PPO_L4,"Layer 04","Layer 05"))))</f>
        <v>Layer 03</v>
      </c>
      <c r="R64" s="29" t="n">
        <f aca="false">D64/IdealPPO-E64</f>
        <v>311.525333333333</v>
      </c>
      <c r="S64" s="29" t="n">
        <f aca="false">IdealTP*Weeks-(Weeks*J64+FirstFill)</f>
        <v>472.5</v>
      </c>
      <c r="T64" s="29" t="n">
        <f aca="false">IF(S64&gt;0,(F64-IdealTP*Weeks*E64)/S64,1000000000000)</f>
        <v>-17.1030687830688</v>
      </c>
      <c r="U64" s="27" t="n">
        <f aca="false">IF(E64&lt;=0,0,IF(G64&lt;=IdealTP,0,IF(L64&lt;=IdealPPO,0,INT(MIN(T64,R64)+0.000000001))))</f>
        <v>0</v>
      </c>
      <c r="V64" s="7" t="str">
        <f aca="false">IF(E64&lt;=0,"No current outlets",IF(G64&lt;=IdealTP,"TP already at or below ideal",IF(L64&lt;=IdealPPO,"PPO already at or below ideal",IF(T64&lt;=R64,"Stopped by TP reaching ideal","Stopped by PPO reaching ideal"))))</f>
        <v>TP already at or below ideal</v>
      </c>
      <c r="W64" s="30" t="n">
        <f aca="false">F64+U64*(Weeks*J64+FirstFill)</f>
        <v>17658.8</v>
      </c>
      <c r="X64" s="30" t="n">
        <f aca="false">E64+U64</f>
        <v>33</v>
      </c>
      <c r="Y64" s="24" t="n">
        <f aca="false">IFERROR(W64/(X64*Weeks),0)</f>
        <v>10.290675990676</v>
      </c>
      <c r="Z64" s="30" t="n">
        <f aca="false">IFERROR(D64/X64,0)</f>
        <v>7830.12121212121</v>
      </c>
      <c r="AA64" s="7" t="str">
        <f aca="false">IF(AND(K64&gt;=NationalPCC,L64&gt;IdealPPO),"Q1: High PCC, High PPO",IF(K64&gt;=NationalPCC,"Q2: High PCC, Low PPO",IF(L64&gt;IdealPPO,"Q3: Low PCC, High PPO","Q4: Low PCC, Low PPO")))</f>
        <v>Q3: Low PCC, High PPO</v>
      </c>
      <c r="AB64" s="7" t="str">
        <f aca="false">IF(K64&gt;=NationalPCC,IF(L64&gt;IdealPPO,"Phase 1","Phase 2"),"Phase 3")</f>
        <v>Phase 3</v>
      </c>
      <c r="AC64" s="7" t="str">
        <f aca="false">IF(AND(G64&gt;IdealTP,L64&gt;IdealPPO),"High TP, High PPO",IF(G64&gt;IdealTP,"High TP, Low PPO",IF(L64&gt;IdealPPO,"Low TP, High PPO","Low TP, Low PPO")))</f>
        <v>Low TP, High PPO</v>
      </c>
      <c r="AD64" s="31" t="n">
        <f aca="false">INDEX(WaveNumbers,MATCH(C64,WaveNames,0))</f>
        <v>4</v>
      </c>
      <c r="AE64" s="32" t="str">
        <f aca="false">IF(U64&gt;0,AD64*10000000+VALUE(RIGHT(AB64,1))*1000000+(1000000-U64)+ROW()/1000000,"")</f>
        <v/>
      </c>
      <c r="AF64" s="31" t="str">
        <f aca="false">IF(U64&gt;0,COUNTIFS($AE$5:$AE$119,"&lt;"&amp;AE64)+1,"")</f>
        <v/>
      </c>
      <c r="AG64" s="7" t="str">
        <f aca="false">IF(AF64="","No",IF(AF64&lt;=TopN,"Yes","No"))</f>
        <v>No</v>
      </c>
      <c r="AH64" s="30" t="n">
        <f aca="false">INT('District Data'!O64*ConvRate)</f>
        <v>18</v>
      </c>
      <c r="AI64" s="27" t="n">
        <f aca="false">MIN(U64,AH64)</f>
        <v>0</v>
      </c>
      <c r="AJ64" s="7" t="str">
        <f aca="false">IF(U64=0,"No expansion",IF(AH64&lt;U64,"Supply constrained (not enough shops)","Demand constrained (enough shops)"))</f>
        <v>No expansion</v>
      </c>
      <c r="AK64" s="30" t="n">
        <f aca="false">IF(AG64="Yes",AI64,0)</f>
        <v>0</v>
      </c>
      <c r="AL64" s="26" t="n">
        <f aca="false">IF(AG64="Yes",IF(Budget1&gt;=ShortlistFinal,AK64,AK64/ShortlistFinal*Budget1),0)</f>
        <v>0</v>
      </c>
      <c r="AM64" s="30" t="n">
        <f aca="false">INT(AL64)</f>
        <v>0</v>
      </c>
      <c r="AN64" s="26" t="n">
        <f aca="false">IF(AND(AG64="Yes",Budget1&lt;ShortlistFinal),AL64-AM64,-1)</f>
        <v>-1</v>
      </c>
      <c r="AO64" s="27" t="n">
        <f aca="false">IF(AG64&lt;&gt;"Yes",0,IF(Budget1&gt;=ShortlistFinal,AK64,AM64+IF(COUNTIFS($AN$5:$AN$119,"&gt;"&amp;AN64)+COUNTIFS($AN$5:$AN$119,AN64,$AF$5:$AF$119,"&lt;"&amp;AF64)&lt;Budget1-SUM($AM$5:$AM$119),1,0)))</f>
        <v>0</v>
      </c>
      <c r="AP64" s="26" t="n">
        <f aca="false">IF(AG64="Yes",IF(Budget2&gt;=ShortlistFinal,AK64,AK64/ShortlistFinal*Budget2),0)</f>
        <v>0</v>
      </c>
      <c r="AQ64" s="30" t="n">
        <f aca="false">INT(AP64)</f>
        <v>0</v>
      </c>
      <c r="AR64" s="26" t="n">
        <f aca="false">IF(AND(AG64="Yes",Budget2&lt;ShortlistFinal),AP64-AQ64,-1)</f>
        <v>-1</v>
      </c>
      <c r="AS64" s="27" t="n">
        <f aca="false">IF(AG64&lt;&gt;"Yes",0,IF(Budget2&gt;=ShortlistFinal,AK64,AQ64+IF(COUNTIFS($AR$5:$AR$119,"&gt;"&amp;AR64)+COUNTIFS($AR$5:$AR$119,AR64,$AF$5:$AF$119,"&lt;"&amp;AF64)&lt;Budget2-SUM($AQ$5:$AQ$119),1,0)))</f>
        <v>0</v>
      </c>
      <c r="AT64" s="26" t="n">
        <f aca="false">AK64*Share2025</f>
        <v>0</v>
      </c>
      <c r="AU64" s="26" t="n">
        <f aca="false">AK64*Share2026</f>
        <v>0</v>
      </c>
      <c r="AV64" s="26" t="n">
        <f aca="false">AK64*Share2027</f>
        <v>0</v>
      </c>
      <c r="AW64" s="31" t="n">
        <f aca="false">INT(AT64)</f>
        <v>0</v>
      </c>
      <c r="AX64" s="31" t="n">
        <f aca="false">INT(AU64)</f>
        <v>0</v>
      </c>
      <c r="AY64" s="31" t="n">
        <f aca="false">INT(AV64)</f>
        <v>0</v>
      </c>
      <c r="AZ64" s="26" t="n">
        <f aca="false">AT64-AW64</f>
        <v>0</v>
      </c>
      <c r="BA64" s="26" t="n">
        <f aca="false">AU64-AX64</f>
        <v>0</v>
      </c>
      <c r="BB64" s="26" t="n">
        <f aca="false">AV64-AY64</f>
        <v>0</v>
      </c>
      <c r="BC64" s="31" t="n">
        <f aca="false">AK64-AW64-AX64-AY64</f>
        <v>0</v>
      </c>
      <c r="BD64" s="27" t="n">
        <f aca="false">AW64+IF((BA64&gt;AZ64)+(BB64&gt;AZ64)&lt;BC64,1,0)</f>
        <v>0</v>
      </c>
      <c r="BE64" s="27" t="n">
        <f aca="false">AX64+IF((AZ64&gt;BA64)+(BB64&gt;BA64)+(AZ64=BA64)&lt;BC64,1,0)</f>
        <v>0</v>
      </c>
      <c r="BF64" s="27" t="n">
        <f aca="false">AY64+IF((AZ64&gt;BB64)+(BA64&gt;BB64)+(AZ64=BB64)+(BA64=BB64)&lt;BC64,1,0)</f>
        <v>0</v>
      </c>
    </row>
    <row r="65" customFormat="false" ht="15" hidden="false" customHeight="false" outlineLevel="0" collapsed="false">
      <c r="A65" s="22" t="str">
        <f aca="false">'District Data'!A65</f>
        <v>Malakand</v>
      </c>
      <c r="B65" s="22" t="str">
        <f aca="false">'District Data'!C65</f>
        <v>Peshawar Region</v>
      </c>
      <c r="C65" s="22" t="str">
        <f aca="false">'District Data'!D65</f>
        <v>Neighbouring</v>
      </c>
      <c r="D65" s="23" t="n">
        <f aca="false">ROUND('District Data'!E65*'District Data'!F65,0)</f>
        <v>67669</v>
      </c>
      <c r="E65" s="23" t="n">
        <f aca="false">'District Data'!I65</f>
        <v>9</v>
      </c>
      <c r="F65" s="23" t="n">
        <f aca="false">'District Data'!L65</f>
        <v>9708.2</v>
      </c>
      <c r="G65" s="24" t="n">
        <f aca="false">IFERROR(F65/(E65*Weeks),0)</f>
        <v>20.7440170940171</v>
      </c>
      <c r="H65" s="25" t="n">
        <f aca="false">IFERROR('District Data'!N65/('District Data'!M65*Weeks),0)</f>
        <v>29.2980769230769</v>
      </c>
      <c r="I65" s="24" t="n">
        <f aca="false">IFERROR(SUMIFS('District Data'!$N$5:$N$119,'District Data'!$C$5:$C$119,B65)/(SUMIFS('District Data'!$M$5:$M$119,'District Data'!$C$5:$C$119,B65)*Weeks),0)</f>
        <v>7.60397053195561</v>
      </c>
      <c r="J65" s="24" t="n">
        <f aca="false">IF(TPBasis="NI TP",IF(H65&gt;0,H65,I65),G65)</f>
        <v>29.2980769230769</v>
      </c>
      <c r="K65" s="26" t="n">
        <f aca="false">IFERROR(F65/D65,0)</f>
        <v>0.143465988857527</v>
      </c>
      <c r="L65" s="27" t="n">
        <f aca="false">IFERROR(D65/E65,0)</f>
        <v>7518.77777777778</v>
      </c>
      <c r="M65" s="28" t="n">
        <f aca="false">IFERROR('District Data'!L65/'District Data'!K65-1,0)</f>
        <v>0.272655768650945</v>
      </c>
      <c r="N65" s="28" t="n">
        <f aca="false">IFERROR(('District Data'!L65/'District Data'!J65)^(1/2)-1,0)</f>
        <v>0.210715158211383</v>
      </c>
      <c r="O65" s="28" t="n">
        <f aca="false">IFERROR('District Data'!I65/'District Data'!H65-1,0)</f>
        <v>0.125</v>
      </c>
      <c r="P65" s="7" t="str">
        <f aca="false">IF(K65&gt;=PCC_L1,"Layer 01",IF(K65&gt;=PCC_L2,"Layer 02",IF(K65&gt;=PCC_L3,"Layer 03",IF(K65&gt;=PCC_L4,"Layer 04","Layer 05"))))</f>
        <v>Layer 05</v>
      </c>
      <c r="Q65" s="7" t="str">
        <f aca="false">IF(L65&gt;=PPO_L1,"Layer 01",IF(L65&gt;=PPO_L2,"Layer 02",IF(L65&gt;=PPO_L3,"Layer 03",IF(L65&gt;=PPO_L4,"Layer 04","Layer 05"))))</f>
        <v>Layer 03</v>
      </c>
      <c r="R65" s="29" t="n">
        <f aca="false">D65/IdealPPO-E65</f>
        <v>81.2253333333333</v>
      </c>
      <c r="S65" s="29" t="n">
        <f aca="false">IdealTP*Weeks-(Weeks*J65+FirstFill)</f>
        <v>-823.5</v>
      </c>
      <c r="T65" s="29" t="n">
        <f aca="false">IF(S65&gt;0,(F65-IdealTP*Weeks*E65)/S65,1000000000000)</f>
        <v>1000000000000</v>
      </c>
      <c r="U65" s="27" t="n">
        <f aca="false">IF(E65&lt;=0,0,IF(G65&lt;=IdealTP,0,IF(L65&lt;=IdealPPO,0,INT(MIN(T65,R65)+0.000000001))))</f>
        <v>81</v>
      </c>
      <c r="V65" s="7" t="str">
        <f aca="false">IF(E65&lt;=0,"No current outlets",IF(G65&lt;=IdealTP,"TP already at or below ideal",IF(L65&lt;=IdealPPO,"PPO already at or below ideal",IF(T65&lt;=R65,"Stopped by TP reaching ideal","Stopped by PPO reaching ideal"))))</f>
        <v>Stopped by PPO reaching ideal</v>
      </c>
      <c r="W65" s="30" t="n">
        <f aca="false">F65+U65*(Weeks*J65+FirstFill)</f>
        <v>139591.7</v>
      </c>
      <c r="X65" s="30" t="n">
        <f aca="false">E65+U65</f>
        <v>90</v>
      </c>
      <c r="Y65" s="24" t="n">
        <f aca="false">IFERROR(W65/(X65*Weeks),0)</f>
        <v>29.8272863247863</v>
      </c>
      <c r="Z65" s="30" t="n">
        <f aca="false">IFERROR(D65/X65,0)</f>
        <v>751.877777777778</v>
      </c>
      <c r="AA65" s="7" t="str">
        <f aca="false">IF(AND(K65&gt;=NationalPCC,L65&gt;IdealPPO),"Q1: High PCC, High PPO",IF(K65&gt;=NationalPCC,"Q2: High PCC, Low PPO",IF(L65&gt;IdealPPO,"Q3: Low PCC, High PPO","Q4: Low PCC, Low PPO")))</f>
        <v>Q3: Low PCC, High PPO</v>
      </c>
      <c r="AB65" s="7" t="str">
        <f aca="false">IF(K65&gt;=NationalPCC,IF(L65&gt;IdealPPO,"Phase 1","Phase 2"),"Phase 3")</f>
        <v>Phase 3</v>
      </c>
      <c r="AC65" s="7" t="str">
        <f aca="false">IF(AND(G65&gt;IdealTP,L65&gt;IdealPPO),"High TP, High PPO",IF(G65&gt;IdealTP,"High TP, Low PPO",IF(L65&gt;IdealPPO,"Low TP, High PPO","Low TP, Low PPO")))</f>
        <v>High TP, High PPO</v>
      </c>
      <c r="AD65" s="31" t="n">
        <f aca="false">INDEX(WaveNumbers,MATCH(C65,WaveNames,0))</f>
        <v>2</v>
      </c>
      <c r="AE65" s="32" t="n">
        <f aca="false">IF(U65&gt;0,AD65*10000000+VALUE(RIGHT(AB65,1))*1000000+(1000000-U65)+ROW()/1000000,"")</f>
        <v>23999919.000065</v>
      </c>
      <c r="AF65" s="31" t="n">
        <f aca="false">IF(U65&gt;0,COUNTIFS($AE$5:$AE$119,"&lt;"&amp;AE65)+1,"")</f>
        <v>27</v>
      </c>
      <c r="AG65" s="7" t="str">
        <f aca="false">IF(AF65="","No",IF(AF65&lt;=TopN,"Yes","No"))</f>
        <v>Yes</v>
      </c>
      <c r="AH65" s="30" t="n">
        <f aca="false">INT('District Data'!O65*ConvRate)</f>
        <v>1</v>
      </c>
      <c r="AI65" s="27" t="n">
        <f aca="false">MIN(U65,AH65)</f>
        <v>1</v>
      </c>
      <c r="AJ65" s="7" t="str">
        <f aca="false">IF(U65=0,"No expansion",IF(AH65&lt;U65,"Supply constrained (not enough shops)","Demand constrained (enough shops)"))</f>
        <v>Supply constrained (not enough shops)</v>
      </c>
      <c r="AK65" s="30" t="n">
        <f aca="false">IF(AG65="Yes",AI65,0)</f>
        <v>1</v>
      </c>
      <c r="AL65" s="26" t="n">
        <f aca="false">IF(AG65="Yes",IF(Budget1&gt;=ShortlistFinal,AK65,AK65/ShortlistFinal*Budget1),0)</f>
        <v>0.591278640059128</v>
      </c>
      <c r="AM65" s="30" t="n">
        <f aca="false">INT(AL65)</f>
        <v>0</v>
      </c>
      <c r="AN65" s="26" t="n">
        <f aca="false">IF(AND(AG65="Yes",Budget1&lt;ShortlistFinal),AL65-AM65,-1)</f>
        <v>0.591278640059128</v>
      </c>
      <c r="AO65" s="27" t="n">
        <f aca="false">IF(AG65&lt;&gt;"Yes",0,IF(Budget1&gt;=ShortlistFinal,AK65,AM65+IF(COUNTIFS($AN$5:$AN$119,"&gt;"&amp;AN65)+COUNTIFS($AN$5:$AN$119,AN65,$AF$5:$AF$119,"&lt;"&amp;AF65)&lt;Budget1-SUM($AM$5:$AM$119),1,0)))</f>
        <v>1</v>
      </c>
      <c r="AP65" s="26" t="n">
        <f aca="false">IF(AG65="Yes",IF(Budget2&gt;=ShortlistFinal,AK65,AK65/ShortlistFinal*Budget2),0)</f>
        <v>0.886917960088692</v>
      </c>
      <c r="AQ65" s="30" t="n">
        <f aca="false">INT(AP65)</f>
        <v>0</v>
      </c>
      <c r="AR65" s="26" t="n">
        <f aca="false">IF(AND(AG65="Yes",Budget2&lt;ShortlistFinal),AP65-AQ65,-1)</f>
        <v>0.886917960088692</v>
      </c>
      <c r="AS65" s="27" t="n">
        <f aca="false">IF(AG65&lt;&gt;"Yes",0,IF(Budget2&gt;=ShortlistFinal,AK65,AQ65+IF(COUNTIFS($AR$5:$AR$119,"&gt;"&amp;AR65)+COUNTIFS($AR$5:$AR$119,AR65,$AF$5:$AF$119,"&lt;"&amp;AF65)&lt;Budget2-SUM($AQ$5:$AQ$119),1,0)))</f>
        <v>1</v>
      </c>
      <c r="AT65" s="26" t="n">
        <f aca="false">AK65*Share2025</f>
        <v>0.352941176470588</v>
      </c>
      <c r="AU65" s="26" t="n">
        <f aca="false">AK65*Share2026</f>
        <v>0.352941176470588</v>
      </c>
      <c r="AV65" s="26" t="n">
        <f aca="false">AK65*Share2027</f>
        <v>0.294117647058824</v>
      </c>
      <c r="AW65" s="31" t="n">
        <f aca="false">INT(AT65)</f>
        <v>0</v>
      </c>
      <c r="AX65" s="31" t="n">
        <f aca="false">INT(AU65)</f>
        <v>0</v>
      </c>
      <c r="AY65" s="31" t="n">
        <f aca="false">INT(AV65)</f>
        <v>0</v>
      </c>
      <c r="AZ65" s="26" t="n">
        <f aca="false">AT65-AW65</f>
        <v>0.352941176470588</v>
      </c>
      <c r="BA65" s="26" t="n">
        <f aca="false">AU65-AX65</f>
        <v>0.352941176470588</v>
      </c>
      <c r="BB65" s="26" t="n">
        <f aca="false">AV65-AY65</f>
        <v>0.294117647058824</v>
      </c>
      <c r="BC65" s="31" t="n">
        <f aca="false">AK65-AW65-AX65-AY65</f>
        <v>1</v>
      </c>
      <c r="BD65" s="27" t="n">
        <f aca="false">AW65+IF((BA65&gt;AZ65)+(BB65&gt;AZ65)&lt;BC65,1,0)</f>
        <v>1</v>
      </c>
      <c r="BE65" s="27" t="n">
        <f aca="false">AX65+IF((AZ65&gt;BA65)+(BB65&gt;BA65)+(AZ65=BA65)&lt;BC65,1,0)</f>
        <v>0</v>
      </c>
      <c r="BF65" s="27" t="n">
        <f aca="false">AY65+IF((AZ65&gt;BB65)+(BA65&gt;BB65)+(AZ65=BB65)+(BA65=BB65)&lt;BC65,1,0)</f>
        <v>0</v>
      </c>
    </row>
    <row r="66" customFormat="false" ht="15" hidden="false" customHeight="false" outlineLevel="0" collapsed="false">
      <c r="A66" s="22" t="str">
        <f aca="false">'District Data'!A66</f>
        <v>Mandi Bahauddin</v>
      </c>
      <c r="B66" s="22" t="str">
        <f aca="false">'District Data'!C66</f>
        <v>Lahore Region</v>
      </c>
      <c r="C66" s="22" t="str">
        <f aca="false">'District Data'!D66</f>
        <v>Neighbouring</v>
      </c>
      <c r="D66" s="23" t="n">
        <f aca="false">ROUND('District Data'!E66*'District Data'!F66,0)</f>
        <v>443660</v>
      </c>
      <c r="E66" s="23" t="n">
        <f aca="false">'District Data'!I66</f>
        <v>98</v>
      </c>
      <c r="F66" s="23" t="n">
        <f aca="false">'District Data'!L66</f>
        <v>77042.4</v>
      </c>
      <c r="G66" s="24" t="n">
        <f aca="false">IFERROR(F66/(E66*Weeks),0)</f>
        <v>15.1182103610675</v>
      </c>
      <c r="H66" s="25" t="n">
        <f aca="false">IFERROR('District Data'!N66/('District Data'!M66*Weeks),0)</f>
        <v>7.95598290598291</v>
      </c>
      <c r="I66" s="24" t="n">
        <f aca="false">IFERROR(SUMIFS('District Data'!$N$5:$N$119,'District Data'!$C$5:$C$119,B66)/(SUMIFS('District Data'!$M$5:$M$119,'District Data'!$C$5:$C$119,B66)*Weeks),0)</f>
        <v>11.5536217630433</v>
      </c>
      <c r="J66" s="24" t="n">
        <f aca="false">IF(TPBasis="NI TP",IF(H66&gt;0,H66,I66),G66)</f>
        <v>7.95598290598291</v>
      </c>
      <c r="K66" s="26" t="n">
        <f aca="false">IFERROR(F66/D66,0)</f>
        <v>0.173651895595726</v>
      </c>
      <c r="L66" s="27" t="n">
        <f aca="false">IFERROR(D66/E66,0)</f>
        <v>4527.14285714286</v>
      </c>
      <c r="M66" s="28" t="n">
        <f aca="false">IFERROR('District Data'!L66/'District Data'!K66-1,0)</f>
        <v>0.0342538944406556</v>
      </c>
      <c r="N66" s="28" t="n">
        <f aca="false">IFERROR(('District Data'!L66/'District Data'!J66)^(1/2)-1,0)</f>
        <v>0.0289120901130546</v>
      </c>
      <c r="O66" s="28" t="n">
        <f aca="false">IFERROR('District Data'!I66/'District Data'!H66-1,0)</f>
        <v>0.0652173913043479</v>
      </c>
      <c r="P66" s="7" t="str">
        <f aca="false">IF(K66&gt;=PCC_L1,"Layer 01",IF(K66&gt;=PCC_L2,"Layer 02",IF(K66&gt;=PCC_L3,"Layer 03",IF(K66&gt;=PCC_L4,"Layer 04","Layer 05"))))</f>
        <v>Layer 05</v>
      </c>
      <c r="Q66" s="7" t="str">
        <f aca="false">IF(L66&gt;=PPO_L1,"Layer 01",IF(L66&gt;=PPO_L2,"Layer 02",IF(L66&gt;=PPO_L3,"Layer 03",IF(L66&gt;=PPO_L4,"Layer 04","Layer 05"))))</f>
        <v>Layer 03</v>
      </c>
      <c r="R66" s="29" t="n">
        <f aca="false">D66/IdealPPO-E66</f>
        <v>493.546666666667</v>
      </c>
      <c r="S66" s="29" t="n">
        <f aca="false">IdealTP*Weeks-(Weeks*J66+FirstFill)</f>
        <v>286.288888888889</v>
      </c>
      <c r="T66" s="29" t="n">
        <f aca="false">IF(S66&gt;0,(F66-IdealTP*Weeks*E66)/S66,1000000000000)</f>
        <v>2.10416828378481</v>
      </c>
      <c r="U66" s="27" t="n">
        <f aca="false">IF(E66&lt;=0,0,IF(G66&lt;=IdealTP,0,IF(L66&lt;=IdealPPO,0,INT(MIN(T66,R66)+0.000000001))))</f>
        <v>2</v>
      </c>
      <c r="V66" s="7" t="str">
        <f aca="false">IF(E66&lt;=0,"No current outlets",IF(G66&lt;=IdealTP,"TP already at or below ideal",IF(L66&lt;=IdealPPO,"PPO already at or below ideal",IF(T66&lt;=R66,"Stopped by TP reaching ideal","Stopped by PPO reaching ideal"))))</f>
        <v>Stopped by TP reaching ideal</v>
      </c>
      <c r="W66" s="30" t="n">
        <f aca="false">F66+U66*(Weeks*J66+FirstFill)</f>
        <v>78029.8222222222</v>
      </c>
      <c r="X66" s="30" t="n">
        <f aca="false">E66+U66</f>
        <v>100</v>
      </c>
      <c r="Y66" s="24" t="n">
        <f aca="false">IFERROR(W66/(X66*Weeks),0)</f>
        <v>15.005735042735</v>
      </c>
      <c r="Z66" s="30" t="n">
        <f aca="false">IFERROR(D66/X66,0)</f>
        <v>4436.6</v>
      </c>
      <c r="AA66" s="7" t="str">
        <f aca="false">IF(AND(K66&gt;=NationalPCC,L66&gt;IdealPPO),"Q1: High PCC, High PPO",IF(K66&gt;=NationalPCC,"Q2: High PCC, Low PPO",IF(L66&gt;IdealPPO,"Q3: Low PCC, High PPO","Q4: Low PCC, Low PPO")))</f>
        <v>Q3: Low PCC, High PPO</v>
      </c>
      <c r="AB66" s="7" t="str">
        <f aca="false">IF(K66&gt;=NationalPCC,IF(L66&gt;IdealPPO,"Phase 1","Phase 2"),"Phase 3")</f>
        <v>Phase 3</v>
      </c>
      <c r="AC66" s="7" t="str">
        <f aca="false">IF(AND(G66&gt;IdealTP,L66&gt;IdealPPO),"High TP, High PPO",IF(G66&gt;IdealTP,"High TP, Low PPO",IF(L66&gt;IdealPPO,"Low TP, High PPO","Low TP, Low PPO")))</f>
        <v>High TP, High PPO</v>
      </c>
      <c r="AD66" s="31" t="n">
        <f aca="false">INDEX(WaveNumbers,MATCH(C66,WaveNames,0))</f>
        <v>2</v>
      </c>
      <c r="AE66" s="32" t="n">
        <f aca="false">IF(U66&gt;0,AD66*10000000+VALUE(RIGHT(AB66,1))*1000000+(1000000-U66)+ROW()/1000000,"")</f>
        <v>23999998.000066</v>
      </c>
      <c r="AF66" s="31" t="n">
        <f aca="false">IF(U66&gt;0,COUNTIFS($AE$5:$AE$119,"&lt;"&amp;AE66)+1,"")</f>
        <v>36</v>
      </c>
      <c r="AG66" s="7" t="str">
        <f aca="false">IF(AF66="","No",IF(AF66&lt;=TopN,"Yes","No"))</f>
        <v>Yes</v>
      </c>
      <c r="AH66" s="30" t="n">
        <f aca="false">INT('District Data'!O66*ConvRate)</f>
        <v>27</v>
      </c>
      <c r="AI66" s="27" t="n">
        <f aca="false">MIN(U66,AH66)</f>
        <v>2</v>
      </c>
      <c r="AJ66" s="7" t="str">
        <f aca="false">IF(U66=0,"No expansion",IF(AH66&lt;U66,"Supply constrained (not enough shops)","Demand constrained (enough shops)"))</f>
        <v>Demand constrained (enough shops)</v>
      </c>
      <c r="AK66" s="30" t="n">
        <f aca="false">IF(AG66="Yes",AI66,0)</f>
        <v>2</v>
      </c>
      <c r="AL66" s="26" t="n">
        <f aca="false">IF(AG66="Yes",IF(Budget1&gt;=ShortlistFinal,AK66,AK66/ShortlistFinal*Budget1),0)</f>
        <v>1.18255728011826</v>
      </c>
      <c r="AM66" s="30" t="n">
        <f aca="false">INT(AL66)</f>
        <v>1</v>
      </c>
      <c r="AN66" s="26" t="n">
        <f aca="false">IF(AND(AG66="Yes",Budget1&lt;ShortlistFinal),AL66-AM66,-1)</f>
        <v>0.182557280118256</v>
      </c>
      <c r="AO66" s="27" t="n">
        <f aca="false">IF(AG66&lt;&gt;"Yes",0,IF(Budget1&gt;=ShortlistFinal,AK66,AM66+IF(COUNTIFS($AN$5:$AN$119,"&gt;"&amp;AN66)+COUNTIFS($AN$5:$AN$119,AN66,$AF$5:$AF$119,"&lt;"&amp;AF66)&lt;Budget1-SUM($AM$5:$AM$119),1,0)))</f>
        <v>1</v>
      </c>
      <c r="AP66" s="26" t="n">
        <f aca="false">IF(AG66="Yes",IF(Budget2&gt;=ShortlistFinal,AK66,AK66/ShortlistFinal*Budget2),0)</f>
        <v>1.77383592017738</v>
      </c>
      <c r="AQ66" s="30" t="n">
        <f aca="false">INT(AP66)</f>
        <v>1</v>
      </c>
      <c r="AR66" s="26" t="n">
        <f aca="false">IF(AND(AG66="Yes",Budget2&lt;ShortlistFinal),AP66-AQ66,-1)</f>
        <v>0.773835920177384</v>
      </c>
      <c r="AS66" s="27" t="n">
        <f aca="false">IF(AG66&lt;&gt;"Yes",0,IF(Budget2&gt;=ShortlistFinal,AK66,AQ66+IF(COUNTIFS($AR$5:$AR$119,"&gt;"&amp;AR66)+COUNTIFS($AR$5:$AR$119,AR66,$AF$5:$AF$119,"&lt;"&amp;AF66)&lt;Budget2-SUM($AQ$5:$AQ$119),1,0)))</f>
        <v>2</v>
      </c>
      <c r="AT66" s="26" t="n">
        <f aca="false">AK66*Share2025</f>
        <v>0.705882352941177</v>
      </c>
      <c r="AU66" s="26" t="n">
        <f aca="false">AK66*Share2026</f>
        <v>0.705882352941177</v>
      </c>
      <c r="AV66" s="26" t="n">
        <f aca="false">AK66*Share2027</f>
        <v>0.588235294117647</v>
      </c>
      <c r="AW66" s="31" t="n">
        <f aca="false">INT(AT66)</f>
        <v>0</v>
      </c>
      <c r="AX66" s="31" t="n">
        <f aca="false">INT(AU66)</f>
        <v>0</v>
      </c>
      <c r="AY66" s="31" t="n">
        <f aca="false">INT(AV66)</f>
        <v>0</v>
      </c>
      <c r="AZ66" s="26" t="n">
        <f aca="false">AT66-AW66</f>
        <v>0.705882352941177</v>
      </c>
      <c r="BA66" s="26" t="n">
        <f aca="false">AU66-AX66</f>
        <v>0.705882352941177</v>
      </c>
      <c r="BB66" s="26" t="n">
        <f aca="false">AV66-AY66</f>
        <v>0.588235294117647</v>
      </c>
      <c r="BC66" s="31" t="n">
        <f aca="false">AK66-AW66-AX66-AY66</f>
        <v>2</v>
      </c>
      <c r="BD66" s="27" t="n">
        <f aca="false">AW66+IF((BA66&gt;AZ66)+(BB66&gt;AZ66)&lt;BC66,1,0)</f>
        <v>1</v>
      </c>
      <c r="BE66" s="27" t="n">
        <f aca="false">AX66+IF((AZ66&gt;BA66)+(BB66&gt;BA66)+(AZ66=BA66)&lt;BC66,1,0)</f>
        <v>1</v>
      </c>
      <c r="BF66" s="27" t="n">
        <f aca="false">AY66+IF((AZ66&gt;BB66)+(BA66&gt;BB66)+(AZ66=BB66)+(BA66=BB66)&lt;BC66,1,0)</f>
        <v>0</v>
      </c>
    </row>
    <row r="67" customFormat="false" ht="15" hidden="false" customHeight="false" outlineLevel="0" collapsed="false">
      <c r="A67" s="22" t="str">
        <f aca="false">'District Data'!A67</f>
        <v>Mansehra</v>
      </c>
      <c r="B67" s="22" t="str">
        <f aca="false">'District Data'!C67</f>
        <v>Islamabad Region</v>
      </c>
      <c r="C67" s="22" t="str">
        <f aca="false">'District Data'!D67</f>
        <v>Neighbouring</v>
      </c>
      <c r="D67" s="23" t="n">
        <f aca="false">ROUND('District Data'!E67*'District Data'!F67,0)</f>
        <v>433893</v>
      </c>
      <c r="E67" s="23" t="n">
        <f aca="false">'District Data'!I67</f>
        <v>72</v>
      </c>
      <c r="F67" s="23" t="n">
        <f aca="false">'District Data'!L67</f>
        <v>54109.1</v>
      </c>
      <c r="G67" s="24" t="n">
        <f aca="false">IFERROR(F67/(E67*Weeks),0)</f>
        <v>14.4522168803419</v>
      </c>
      <c r="H67" s="25" t="n">
        <f aca="false">IFERROR('District Data'!N67/('District Data'!M67*Weeks),0)</f>
        <v>9.00052447552448</v>
      </c>
      <c r="I67" s="24" t="n">
        <f aca="false">IFERROR(SUMIFS('District Data'!$N$5:$N$119,'District Data'!$C$5:$C$119,B67)/(SUMIFS('District Data'!$M$5:$M$119,'District Data'!$C$5:$C$119,B67)*Weeks),0)</f>
        <v>8.40311578665237</v>
      </c>
      <c r="J67" s="24" t="n">
        <f aca="false">IF(TPBasis="NI TP",IF(H67&gt;0,H67,I67),G67)</f>
        <v>9.00052447552448</v>
      </c>
      <c r="K67" s="26" t="n">
        <f aca="false">IFERROR(F67/D67,0)</f>
        <v>0.124706091133067</v>
      </c>
      <c r="L67" s="27" t="n">
        <f aca="false">IFERROR(D67/E67,0)</f>
        <v>6026.29166666667</v>
      </c>
      <c r="M67" s="28" t="n">
        <f aca="false">IFERROR('District Data'!L67/'District Data'!K67-1,0)</f>
        <v>0.0696520953550115</v>
      </c>
      <c r="N67" s="28" t="n">
        <f aca="false">IFERROR(('District Data'!L67/'District Data'!J67)^(1/2)-1,0)</f>
        <v>0.000175617458468613</v>
      </c>
      <c r="O67" s="28" t="n">
        <f aca="false">IFERROR('District Data'!I67/'District Data'!H67-1,0)</f>
        <v>0.180327868852459</v>
      </c>
      <c r="P67" s="7" t="str">
        <f aca="false">IF(K67&gt;=PCC_L1,"Layer 01",IF(K67&gt;=PCC_L2,"Layer 02",IF(K67&gt;=PCC_L3,"Layer 03",IF(K67&gt;=PCC_L4,"Layer 04","Layer 05"))))</f>
        <v>Layer 05</v>
      </c>
      <c r="Q67" s="7" t="str">
        <f aca="false">IF(L67&gt;=PPO_L1,"Layer 01",IF(L67&gt;=PPO_L2,"Layer 02",IF(L67&gt;=PPO_L3,"Layer 03",IF(L67&gt;=PPO_L4,"Layer 04","Layer 05"))))</f>
        <v>Layer 03</v>
      </c>
      <c r="R67" s="29" t="n">
        <f aca="false">D67/IdealPPO-E67</f>
        <v>506.524</v>
      </c>
      <c r="S67" s="29" t="n">
        <f aca="false">IdealTP*Weeks-(Weeks*J67+FirstFill)</f>
        <v>231.972727272727</v>
      </c>
      <c r="T67" s="29" t="n">
        <f aca="false">IF(S67&gt;0,(F67-IdealTP*Weeks*E67)/S67,1000000000000)</f>
        <v>-8.84112552416037</v>
      </c>
      <c r="U67" s="27" t="n">
        <f aca="false">IF(E67&lt;=0,0,IF(G67&lt;=IdealTP,0,IF(L67&lt;=IdealPPO,0,INT(MIN(T67,R67)+0.000000001))))</f>
        <v>0</v>
      </c>
      <c r="V67" s="7" t="str">
        <f aca="false">IF(E67&lt;=0,"No current outlets",IF(G67&lt;=IdealTP,"TP already at or below ideal",IF(L67&lt;=IdealPPO,"PPO already at or below ideal",IF(T67&lt;=R67,"Stopped by TP reaching ideal","Stopped by PPO reaching ideal"))))</f>
        <v>TP already at or below ideal</v>
      </c>
      <c r="W67" s="30" t="n">
        <f aca="false">F67+U67*(Weeks*J67+FirstFill)</f>
        <v>54109.1</v>
      </c>
      <c r="X67" s="30" t="n">
        <f aca="false">E67+U67</f>
        <v>72</v>
      </c>
      <c r="Y67" s="24" t="n">
        <f aca="false">IFERROR(W67/(X67*Weeks),0)</f>
        <v>14.4522168803419</v>
      </c>
      <c r="Z67" s="30" t="n">
        <f aca="false">IFERROR(D67/X67,0)</f>
        <v>6026.29166666667</v>
      </c>
      <c r="AA67" s="7" t="str">
        <f aca="false">IF(AND(K67&gt;=NationalPCC,L67&gt;IdealPPO),"Q1: High PCC, High PPO",IF(K67&gt;=NationalPCC,"Q2: High PCC, Low PPO",IF(L67&gt;IdealPPO,"Q3: Low PCC, High PPO","Q4: Low PCC, Low PPO")))</f>
        <v>Q3: Low PCC, High PPO</v>
      </c>
      <c r="AB67" s="7" t="str">
        <f aca="false">IF(K67&gt;=NationalPCC,IF(L67&gt;IdealPPO,"Phase 1","Phase 2"),"Phase 3")</f>
        <v>Phase 3</v>
      </c>
      <c r="AC67" s="7" t="str">
        <f aca="false">IF(AND(G67&gt;IdealTP,L67&gt;IdealPPO),"High TP, High PPO",IF(G67&gt;IdealTP,"High TP, Low PPO",IF(L67&gt;IdealPPO,"Low TP, High PPO","Low TP, Low PPO")))</f>
        <v>Low TP, High PPO</v>
      </c>
      <c r="AD67" s="31" t="n">
        <f aca="false">INDEX(WaveNumbers,MATCH(C67,WaveNames,0))</f>
        <v>2</v>
      </c>
      <c r="AE67" s="32" t="str">
        <f aca="false">IF(U67&gt;0,AD67*10000000+VALUE(RIGHT(AB67,1))*1000000+(1000000-U67)+ROW()/1000000,"")</f>
        <v/>
      </c>
      <c r="AF67" s="31" t="str">
        <f aca="false">IF(U67&gt;0,COUNTIFS($AE$5:$AE$119,"&lt;"&amp;AE67)+1,"")</f>
        <v/>
      </c>
      <c r="AG67" s="7" t="str">
        <f aca="false">IF(AF67="","No",IF(AF67&lt;=TopN,"Yes","No"))</f>
        <v>No</v>
      </c>
      <c r="AH67" s="30" t="n">
        <f aca="false">INT('District Data'!O67*ConvRate)</f>
        <v>44</v>
      </c>
      <c r="AI67" s="27" t="n">
        <f aca="false">MIN(U67,AH67)</f>
        <v>0</v>
      </c>
      <c r="AJ67" s="7" t="str">
        <f aca="false">IF(U67=0,"No expansion",IF(AH67&lt;U67,"Supply constrained (not enough shops)","Demand constrained (enough shops)"))</f>
        <v>No expansion</v>
      </c>
      <c r="AK67" s="30" t="n">
        <f aca="false">IF(AG67="Yes",AI67,0)</f>
        <v>0</v>
      </c>
      <c r="AL67" s="26" t="n">
        <f aca="false">IF(AG67="Yes",IF(Budget1&gt;=ShortlistFinal,AK67,AK67/ShortlistFinal*Budget1),0)</f>
        <v>0</v>
      </c>
      <c r="AM67" s="30" t="n">
        <f aca="false">INT(AL67)</f>
        <v>0</v>
      </c>
      <c r="AN67" s="26" t="n">
        <f aca="false">IF(AND(AG67="Yes",Budget1&lt;ShortlistFinal),AL67-AM67,-1)</f>
        <v>-1</v>
      </c>
      <c r="AO67" s="27" t="n">
        <f aca="false">IF(AG67&lt;&gt;"Yes",0,IF(Budget1&gt;=ShortlistFinal,AK67,AM67+IF(COUNTIFS($AN$5:$AN$119,"&gt;"&amp;AN67)+COUNTIFS($AN$5:$AN$119,AN67,$AF$5:$AF$119,"&lt;"&amp;AF67)&lt;Budget1-SUM($AM$5:$AM$119),1,0)))</f>
        <v>0</v>
      </c>
      <c r="AP67" s="26" t="n">
        <f aca="false">IF(AG67="Yes",IF(Budget2&gt;=ShortlistFinal,AK67,AK67/ShortlistFinal*Budget2),0)</f>
        <v>0</v>
      </c>
      <c r="AQ67" s="30" t="n">
        <f aca="false">INT(AP67)</f>
        <v>0</v>
      </c>
      <c r="AR67" s="26" t="n">
        <f aca="false">IF(AND(AG67="Yes",Budget2&lt;ShortlistFinal),AP67-AQ67,-1)</f>
        <v>-1</v>
      </c>
      <c r="AS67" s="27" t="n">
        <f aca="false">IF(AG67&lt;&gt;"Yes",0,IF(Budget2&gt;=ShortlistFinal,AK67,AQ67+IF(COUNTIFS($AR$5:$AR$119,"&gt;"&amp;AR67)+COUNTIFS($AR$5:$AR$119,AR67,$AF$5:$AF$119,"&lt;"&amp;AF67)&lt;Budget2-SUM($AQ$5:$AQ$119),1,0)))</f>
        <v>0</v>
      </c>
      <c r="AT67" s="26" t="n">
        <f aca="false">AK67*Share2025</f>
        <v>0</v>
      </c>
      <c r="AU67" s="26" t="n">
        <f aca="false">AK67*Share2026</f>
        <v>0</v>
      </c>
      <c r="AV67" s="26" t="n">
        <f aca="false">AK67*Share2027</f>
        <v>0</v>
      </c>
      <c r="AW67" s="31" t="n">
        <f aca="false">INT(AT67)</f>
        <v>0</v>
      </c>
      <c r="AX67" s="31" t="n">
        <f aca="false">INT(AU67)</f>
        <v>0</v>
      </c>
      <c r="AY67" s="31" t="n">
        <f aca="false">INT(AV67)</f>
        <v>0</v>
      </c>
      <c r="AZ67" s="26" t="n">
        <f aca="false">AT67-AW67</f>
        <v>0</v>
      </c>
      <c r="BA67" s="26" t="n">
        <f aca="false">AU67-AX67</f>
        <v>0</v>
      </c>
      <c r="BB67" s="26" t="n">
        <f aca="false">AV67-AY67</f>
        <v>0</v>
      </c>
      <c r="BC67" s="31" t="n">
        <f aca="false">AK67-AW67-AX67-AY67</f>
        <v>0</v>
      </c>
      <c r="BD67" s="27" t="n">
        <f aca="false">AW67+IF((BA67&gt;AZ67)+(BB67&gt;AZ67)&lt;BC67,1,0)</f>
        <v>0</v>
      </c>
      <c r="BE67" s="27" t="n">
        <f aca="false">AX67+IF((AZ67&gt;BA67)+(BB67&gt;BA67)+(AZ67=BA67)&lt;BC67,1,0)</f>
        <v>0</v>
      </c>
      <c r="BF67" s="27" t="n">
        <f aca="false">AY67+IF((AZ67&gt;BB67)+(BA67&gt;BB67)+(AZ67=BB67)+(BA67=BB67)&lt;BC67,1,0)</f>
        <v>0</v>
      </c>
    </row>
    <row r="68" customFormat="false" ht="15" hidden="false" customHeight="false" outlineLevel="0" collapsed="false">
      <c r="A68" s="22" t="str">
        <f aca="false">'District Data'!A68</f>
        <v>Mardan</v>
      </c>
      <c r="B68" s="22" t="str">
        <f aca="false">'District Data'!C68</f>
        <v>Peshawar Region</v>
      </c>
      <c r="C68" s="22" t="str">
        <f aca="false">'District Data'!D68</f>
        <v>Stronghold</v>
      </c>
      <c r="D68" s="23" t="n">
        <f aca="false">ROUND('District Data'!E68*'District Data'!F68,0)</f>
        <v>556822</v>
      </c>
      <c r="E68" s="23" t="n">
        <f aca="false">'District Data'!I68</f>
        <v>189</v>
      </c>
      <c r="F68" s="23" t="n">
        <f aca="false">'District Data'!L68</f>
        <v>137098.3</v>
      </c>
      <c r="G68" s="24" t="n">
        <f aca="false">IFERROR(F68/(E68*Weeks),0)</f>
        <v>13.949765974766</v>
      </c>
      <c r="H68" s="25" t="n">
        <f aca="false">IFERROR('District Data'!N68/('District Data'!M68*Weeks),0)</f>
        <v>8.6513986013986</v>
      </c>
      <c r="I68" s="24" t="n">
        <f aca="false">IFERROR(SUMIFS('District Data'!$N$5:$N$119,'District Data'!$C$5:$C$119,B68)/(SUMIFS('District Data'!$M$5:$M$119,'District Data'!$C$5:$C$119,B68)*Weeks),0)</f>
        <v>7.60397053195561</v>
      </c>
      <c r="J68" s="24" t="n">
        <f aca="false">IF(TPBasis="NI TP",IF(H68&gt;0,H68,I68),G68)</f>
        <v>8.6513986013986</v>
      </c>
      <c r="K68" s="26" t="n">
        <f aca="false">IFERROR(F68/D68,0)</f>
        <v>0.24621566676604</v>
      </c>
      <c r="L68" s="27" t="n">
        <f aca="false">IFERROR(D68/E68,0)</f>
        <v>2946.14814814815</v>
      </c>
      <c r="M68" s="28" t="n">
        <f aca="false">IFERROR('District Data'!L68/'District Data'!K68-1,0)</f>
        <v>0.039168260936794</v>
      </c>
      <c r="N68" s="28" t="n">
        <f aca="false">IFERROR(('District Data'!L68/'District Data'!J68)^(1/2)-1,0)</f>
        <v>0.00959338773173402</v>
      </c>
      <c r="O68" s="28" t="n">
        <f aca="false">IFERROR('District Data'!I68/'District Data'!H68-1,0)</f>
        <v>0.0924855491329479</v>
      </c>
      <c r="P68" s="7" t="str">
        <f aca="false">IF(K68&gt;=PCC_L1,"Layer 01",IF(K68&gt;=PCC_L2,"Layer 02",IF(K68&gt;=PCC_L3,"Layer 03",IF(K68&gt;=PCC_L4,"Layer 04","Layer 05"))))</f>
        <v>Layer 04</v>
      </c>
      <c r="Q68" s="7" t="str">
        <f aca="false">IF(L68&gt;=PPO_L1,"Layer 01",IF(L68&gt;=PPO_L2,"Layer 02",IF(L68&gt;=PPO_L3,"Layer 03",IF(L68&gt;=PPO_L4,"Layer 04","Layer 05"))))</f>
        <v>Layer 04</v>
      </c>
      <c r="R68" s="29" t="n">
        <f aca="false">D68/IdealPPO-E68</f>
        <v>553.429333333333</v>
      </c>
      <c r="S68" s="29" t="n">
        <f aca="false">IdealTP*Weeks-(Weeks*J68+FirstFill)</f>
        <v>250.127272727273</v>
      </c>
      <c r="T68" s="29" t="n">
        <f aca="false">IF(S68&gt;0,(F68-IdealTP*Weeks*E68)/S68,1000000000000)</f>
        <v>-41.2657919604566</v>
      </c>
      <c r="U68" s="27" t="n">
        <f aca="false">IF(E68&lt;=0,0,IF(G68&lt;=IdealTP,0,IF(L68&lt;=IdealPPO,0,INT(MIN(T68,R68)+0.000000001))))</f>
        <v>0</v>
      </c>
      <c r="V68" s="7" t="str">
        <f aca="false">IF(E68&lt;=0,"No current outlets",IF(G68&lt;=IdealTP,"TP already at or below ideal",IF(L68&lt;=IdealPPO,"PPO already at or below ideal",IF(T68&lt;=R68,"Stopped by TP reaching ideal","Stopped by PPO reaching ideal"))))</f>
        <v>TP already at or below ideal</v>
      </c>
      <c r="W68" s="30" t="n">
        <f aca="false">F68+U68*(Weeks*J68+FirstFill)</f>
        <v>137098.3</v>
      </c>
      <c r="X68" s="30" t="n">
        <f aca="false">E68+U68</f>
        <v>189</v>
      </c>
      <c r="Y68" s="24" t="n">
        <f aca="false">IFERROR(W68/(X68*Weeks),0)</f>
        <v>13.949765974766</v>
      </c>
      <c r="Z68" s="30" t="n">
        <f aca="false">IFERROR(D68/X68,0)</f>
        <v>2946.14814814815</v>
      </c>
      <c r="AA68" s="7" t="str">
        <f aca="false">IF(AND(K68&gt;=NationalPCC,L68&gt;IdealPPO),"Q1: High PCC, High PPO",IF(K68&gt;=NationalPCC,"Q2: High PCC, Low PPO",IF(L68&gt;IdealPPO,"Q3: Low PCC, High PPO","Q4: Low PCC, Low PPO")))</f>
        <v>Q3: Low PCC, High PPO</v>
      </c>
      <c r="AB68" s="7" t="str">
        <f aca="false">IF(K68&gt;=NationalPCC,IF(L68&gt;IdealPPO,"Phase 1","Phase 2"),"Phase 3")</f>
        <v>Phase 3</v>
      </c>
      <c r="AC68" s="7" t="str">
        <f aca="false">IF(AND(G68&gt;IdealTP,L68&gt;IdealPPO),"High TP, High PPO",IF(G68&gt;IdealTP,"High TP, Low PPO",IF(L68&gt;IdealPPO,"Low TP, High PPO","Low TP, Low PPO")))</f>
        <v>Low TP, High PPO</v>
      </c>
      <c r="AD68" s="31" t="n">
        <f aca="false">INDEX(WaveNumbers,MATCH(C68,WaveNames,0))</f>
        <v>1</v>
      </c>
      <c r="AE68" s="32" t="str">
        <f aca="false">IF(U68&gt;0,AD68*10000000+VALUE(RIGHT(AB68,1))*1000000+(1000000-U68)+ROW()/1000000,"")</f>
        <v/>
      </c>
      <c r="AF68" s="31" t="str">
        <f aca="false">IF(U68&gt;0,COUNTIFS($AE$5:$AE$119,"&lt;"&amp;AE68)+1,"")</f>
        <v/>
      </c>
      <c r="AG68" s="7" t="str">
        <f aca="false">IF(AF68="","No",IF(AF68&lt;=TopN,"Yes","No"))</f>
        <v>No</v>
      </c>
      <c r="AH68" s="30" t="n">
        <f aca="false">INT('District Data'!O68*ConvRate)</f>
        <v>67</v>
      </c>
      <c r="AI68" s="27" t="n">
        <f aca="false">MIN(U68,AH68)</f>
        <v>0</v>
      </c>
      <c r="AJ68" s="7" t="str">
        <f aca="false">IF(U68=0,"No expansion",IF(AH68&lt;U68,"Supply constrained (not enough shops)","Demand constrained (enough shops)"))</f>
        <v>No expansion</v>
      </c>
      <c r="AK68" s="30" t="n">
        <f aca="false">IF(AG68="Yes",AI68,0)</f>
        <v>0</v>
      </c>
      <c r="AL68" s="26" t="n">
        <f aca="false">IF(AG68="Yes",IF(Budget1&gt;=ShortlistFinal,AK68,AK68/ShortlistFinal*Budget1),0)</f>
        <v>0</v>
      </c>
      <c r="AM68" s="30" t="n">
        <f aca="false">INT(AL68)</f>
        <v>0</v>
      </c>
      <c r="AN68" s="26" t="n">
        <f aca="false">IF(AND(AG68="Yes",Budget1&lt;ShortlistFinal),AL68-AM68,-1)</f>
        <v>-1</v>
      </c>
      <c r="AO68" s="27" t="n">
        <f aca="false">IF(AG68&lt;&gt;"Yes",0,IF(Budget1&gt;=ShortlistFinal,AK68,AM68+IF(COUNTIFS($AN$5:$AN$119,"&gt;"&amp;AN68)+COUNTIFS($AN$5:$AN$119,AN68,$AF$5:$AF$119,"&lt;"&amp;AF68)&lt;Budget1-SUM($AM$5:$AM$119),1,0)))</f>
        <v>0</v>
      </c>
      <c r="AP68" s="26" t="n">
        <f aca="false">IF(AG68="Yes",IF(Budget2&gt;=ShortlistFinal,AK68,AK68/ShortlistFinal*Budget2),0)</f>
        <v>0</v>
      </c>
      <c r="AQ68" s="30" t="n">
        <f aca="false">INT(AP68)</f>
        <v>0</v>
      </c>
      <c r="AR68" s="26" t="n">
        <f aca="false">IF(AND(AG68="Yes",Budget2&lt;ShortlistFinal),AP68-AQ68,-1)</f>
        <v>-1</v>
      </c>
      <c r="AS68" s="27" t="n">
        <f aca="false">IF(AG68&lt;&gt;"Yes",0,IF(Budget2&gt;=ShortlistFinal,AK68,AQ68+IF(COUNTIFS($AR$5:$AR$119,"&gt;"&amp;AR68)+COUNTIFS($AR$5:$AR$119,AR68,$AF$5:$AF$119,"&lt;"&amp;AF68)&lt;Budget2-SUM($AQ$5:$AQ$119),1,0)))</f>
        <v>0</v>
      </c>
      <c r="AT68" s="26" t="n">
        <f aca="false">AK68*Share2025</f>
        <v>0</v>
      </c>
      <c r="AU68" s="26" t="n">
        <f aca="false">AK68*Share2026</f>
        <v>0</v>
      </c>
      <c r="AV68" s="26" t="n">
        <f aca="false">AK68*Share2027</f>
        <v>0</v>
      </c>
      <c r="AW68" s="31" t="n">
        <f aca="false">INT(AT68)</f>
        <v>0</v>
      </c>
      <c r="AX68" s="31" t="n">
        <f aca="false">INT(AU68)</f>
        <v>0</v>
      </c>
      <c r="AY68" s="31" t="n">
        <f aca="false">INT(AV68)</f>
        <v>0</v>
      </c>
      <c r="AZ68" s="26" t="n">
        <f aca="false">AT68-AW68</f>
        <v>0</v>
      </c>
      <c r="BA68" s="26" t="n">
        <f aca="false">AU68-AX68</f>
        <v>0</v>
      </c>
      <c r="BB68" s="26" t="n">
        <f aca="false">AV68-AY68</f>
        <v>0</v>
      </c>
      <c r="BC68" s="31" t="n">
        <f aca="false">AK68-AW68-AX68-AY68</f>
        <v>0</v>
      </c>
      <c r="BD68" s="27" t="n">
        <f aca="false">AW68+IF((BA68&gt;AZ68)+(BB68&gt;AZ68)&lt;BC68,1,0)</f>
        <v>0</v>
      </c>
      <c r="BE68" s="27" t="n">
        <f aca="false">AX68+IF((AZ68&gt;BA68)+(BB68&gt;BA68)+(AZ68=BA68)&lt;BC68,1,0)</f>
        <v>0</v>
      </c>
      <c r="BF68" s="27" t="n">
        <f aca="false">AY68+IF((AZ68&gt;BB68)+(BA68&gt;BB68)+(AZ68=BB68)+(BA68=BB68)&lt;BC68,1,0)</f>
        <v>0</v>
      </c>
    </row>
    <row r="69" customFormat="false" ht="15" hidden="false" customHeight="false" outlineLevel="0" collapsed="false">
      <c r="A69" s="22" t="str">
        <f aca="false">'District Data'!A69</f>
        <v>Mastung</v>
      </c>
      <c r="B69" s="22" t="str">
        <f aca="false">'District Data'!C69</f>
        <v>Multan Region</v>
      </c>
      <c r="C69" s="22" t="str">
        <f aca="false">'District Data'!D69</f>
        <v>Rest</v>
      </c>
      <c r="D69" s="23" t="n">
        <f aca="false">ROUND('District Data'!E69*'District Data'!F69,0)</f>
        <v>54095</v>
      </c>
      <c r="E69" s="23" t="n">
        <f aca="false">'District Data'!I69</f>
        <v>2</v>
      </c>
      <c r="F69" s="23" t="n">
        <f aca="false">'District Data'!L69</f>
        <v>943.7</v>
      </c>
      <c r="G69" s="24" t="n">
        <f aca="false">IFERROR(F69/(E69*Weeks),0)</f>
        <v>9.07403846153846</v>
      </c>
      <c r="H69" s="25" t="n">
        <f aca="false">IFERROR('District Data'!N69/('District Data'!M69*Weeks),0)</f>
        <v>8.36923076923077</v>
      </c>
      <c r="I69" s="24" t="n">
        <f aca="false">IFERROR(SUMIFS('District Data'!$N$5:$N$119,'District Data'!$C$5:$C$119,B69)/(SUMIFS('District Data'!$M$5:$M$119,'District Data'!$C$5:$C$119,B69)*Weeks),0)</f>
        <v>8.16663285109386</v>
      </c>
      <c r="J69" s="24" t="n">
        <f aca="false">IF(TPBasis="NI TP",IF(H69&gt;0,H69,I69),G69)</f>
        <v>8.36923076923077</v>
      </c>
      <c r="K69" s="26" t="n">
        <f aca="false">IFERROR(F69/D69,0)</f>
        <v>0.01744523523431</v>
      </c>
      <c r="L69" s="27" t="n">
        <f aca="false">IFERROR(D69/E69,0)</f>
        <v>27047.5</v>
      </c>
      <c r="M69" s="28" t="n">
        <f aca="false">IFERROR('District Data'!L69/'District Data'!K69-1,0)</f>
        <v>0.734423819150891</v>
      </c>
      <c r="N69" s="28" t="n">
        <f aca="false">IFERROR(('District Data'!L69/'District Data'!J69)^(1/2)-1,0)</f>
        <v>0.273044492785452</v>
      </c>
      <c r="O69" s="28" t="n">
        <f aca="false">IFERROR('District Data'!I69/'District Data'!H69-1,0)</f>
        <v>1</v>
      </c>
      <c r="P69" s="7" t="str">
        <f aca="false">IF(K69&gt;=PCC_L1,"Layer 01",IF(K69&gt;=PCC_L2,"Layer 02",IF(K69&gt;=PCC_L3,"Layer 03",IF(K69&gt;=PCC_L4,"Layer 04","Layer 05"))))</f>
        <v>Layer 05</v>
      </c>
      <c r="Q69" s="7" t="str">
        <f aca="false">IF(L69&gt;=PPO_L1,"Layer 01",IF(L69&gt;=PPO_L2,"Layer 02",IF(L69&gt;=PPO_L3,"Layer 03",IF(L69&gt;=PPO_L4,"Layer 04","Layer 05"))))</f>
        <v>Layer 02</v>
      </c>
      <c r="R69" s="29" t="n">
        <f aca="false">D69/IdealPPO-E69</f>
        <v>70.1266666666667</v>
      </c>
      <c r="S69" s="29" t="n">
        <f aca="false">IdealTP*Weeks-(Weeks*J69+FirstFill)</f>
        <v>264.8</v>
      </c>
      <c r="T69" s="29" t="n">
        <f aca="false">IF(S69&gt;0,(F69-IdealTP*Weeks*E69)/S69,1000000000000)</f>
        <v>-2.327416918429</v>
      </c>
      <c r="U69" s="27" t="n">
        <f aca="false">IF(E69&lt;=0,0,IF(G69&lt;=IdealTP,0,IF(L69&lt;=IdealPPO,0,INT(MIN(T69,R69)+0.000000001))))</f>
        <v>0</v>
      </c>
      <c r="V69" s="7" t="str">
        <f aca="false">IF(E69&lt;=0,"No current outlets",IF(G69&lt;=IdealTP,"TP already at or below ideal",IF(L69&lt;=IdealPPO,"PPO already at or below ideal",IF(T69&lt;=R69,"Stopped by TP reaching ideal","Stopped by PPO reaching ideal"))))</f>
        <v>TP already at or below ideal</v>
      </c>
      <c r="W69" s="30" t="n">
        <f aca="false">F69+U69*(Weeks*J69+FirstFill)</f>
        <v>943.7</v>
      </c>
      <c r="X69" s="30" t="n">
        <f aca="false">E69+U69</f>
        <v>2</v>
      </c>
      <c r="Y69" s="24" t="n">
        <f aca="false">IFERROR(W69/(X69*Weeks),0)</f>
        <v>9.07403846153846</v>
      </c>
      <c r="Z69" s="30" t="n">
        <f aca="false">IFERROR(D69/X69,0)</f>
        <v>27047.5</v>
      </c>
      <c r="AA69" s="7" t="str">
        <f aca="false">IF(AND(K69&gt;=NationalPCC,L69&gt;IdealPPO),"Q1: High PCC, High PPO",IF(K69&gt;=NationalPCC,"Q2: High PCC, Low PPO",IF(L69&gt;IdealPPO,"Q3: Low PCC, High PPO","Q4: Low PCC, Low PPO")))</f>
        <v>Q3: Low PCC, High PPO</v>
      </c>
      <c r="AB69" s="7" t="str">
        <f aca="false">IF(K69&gt;=NationalPCC,IF(L69&gt;IdealPPO,"Phase 1","Phase 2"),"Phase 3")</f>
        <v>Phase 3</v>
      </c>
      <c r="AC69" s="7" t="str">
        <f aca="false">IF(AND(G69&gt;IdealTP,L69&gt;IdealPPO),"High TP, High PPO",IF(G69&gt;IdealTP,"High TP, Low PPO",IF(L69&gt;IdealPPO,"Low TP, High PPO","Low TP, Low PPO")))</f>
        <v>Low TP, High PPO</v>
      </c>
      <c r="AD69" s="31" t="n">
        <f aca="false">INDEX(WaveNumbers,MATCH(C69,WaveNames,0))</f>
        <v>4</v>
      </c>
      <c r="AE69" s="32" t="str">
        <f aca="false">IF(U69&gt;0,AD69*10000000+VALUE(RIGHT(AB69,1))*1000000+(1000000-U69)+ROW()/1000000,"")</f>
        <v/>
      </c>
      <c r="AF69" s="31" t="str">
        <f aca="false">IF(U69&gt;0,COUNTIFS($AE$5:$AE$119,"&lt;"&amp;AE69)+1,"")</f>
        <v/>
      </c>
      <c r="AG69" s="7" t="str">
        <f aca="false">IF(AF69="","No",IF(AF69&lt;=TopN,"Yes","No"))</f>
        <v>No</v>
      </c>
      <c r="AH69" s="30" t="n">
        <f aca="false">INT('District Data'!O69*ConvRate)</f>
        <v>4</v>
      </c>
      <c r="AI69" s="27" t="n">
        <f aca="false">MIN(U69,AH69)</f>
        <v>0</v>
      </c>
      <c r="AJ69" s="7" t="str">
        <f aca="false">IF(U69=0,"No expansion",IF(AH69&lt;U69,"Supply constrained (not enough shops)","Demand constrained (enough shops)"))</f>
        <v>No expansion</v>
      </c>
      <c r="AK69" s="30" t="n">
        <f aca="false">IF(AG69="Yes",AI69,0)</f>
        <v>0</v>
      </c>
      <c r="AL69" s="26" t="n">
        <f aca="false">IF(AG69="Yes",IF(Budget1&gt;=ShortlistFinal,AK69,AK69/ShortlistFinal*Budget1),0)</f>
        <v>0</v>
      </c>
      <c r="AM69" s="30" t="n">
        <f aca="false">INT(AL69)</f>
        <v>0</v>
      </c>
      <c r="AN69" s="26" t="n">
        <f aca="false">IF(AND(AG69="Yes",Budget1&lt;ShortlistFinal),AL69-AM69,-1)</f>
        <v>-1</v>
      </c>
      <c r="AO69" s="27" t="n">
        <f aca="false">IF(AG69&lt;&gt;"Yes",0,IF(Budget1&gt;=ShortlistFinal,AK69,AM69+IF(COUNTIFS($AN$5:$AN$119,"&gt;"&amp;AN69)+COUNTIFS($AN$5:$AN$119,AN69,$AF$5:$AF$119,"&lt;"&amp;AF69)&lt;Budget1-SUM($AM$5:$AM$119),1,0)))</f>
        <v>0</v>
      </c>
      <c r="AP69" s="26" t="n">
        <f aca="false">IF(AG69="Yes",IF(Budget2&gt;=ShortlistFinal,AK69,AK69/ShortlistFinal*Budget2),0)</f>
        <v>0</v>
      </c>
      <c r="AQ69" s="30" t="n">
        <f aca="false">INT(AP69)</f>
        <v>0</v>
      </c>
      <c r="AR69" s="26" t="n">
        <f aca="false">IF(AND(AG69="Yes",Budget2&lt;ShortlistFinal),AP69-AQ69,-1)</f>
        <v>-1</v>
      </c>
      <c r="AS69" s="27" t="n">
        <f aca="false">IF(AG69&lt;&gt;"Yes",0,IF(Budget2&gt;=ShortlistFinal,AK69,AQ69+IF(COUNTIFS($AR$5:$AR$119,"&gt;"&amp;AR69)+COUNTIFS($AR$5:$AR$119,AR69,$AF$5:$AF$119,"&lt;"&amp;AF69)&lt;Budget2-SUM($AQ$5:$AQ$119),1,0)))</f>
        <v>0</v>
      </c>
      <c r="AT69" s="26" t="n">
        <f aca="false">AK69*Share2025</f>
        <v>0</v>
      </c>
      <c r="AU69" s="26" t="n">
        <f aca="false">AK69*Share2026</f>
        <v>0</v>
      </c>
      <c r="AV69" s="26" t="n">
        <f aca="false">AK69*Share2027</f>
        <v>0</v>
      </c>
      <c r="AW69" s="31" t="n">
        <f aca="false">INT(AT69)</f>
        <v>0</v>
      </c>
      <c r="AX69" s="31" t="n">
        <f aca="false">INT(AU69)</f>
        <v>0</v>
      </c>
      <c r="AY69" s="31" t="n">
        <f aca="false">INT(AV69)</f>
        <v>0</v>
      </c>
      <c r="AZ69" s="26" t="n">
        <f aca="false">AT69-AW69</f>
        <v>0</v>
      </c>
      <c r="BA69" s="26" t="n">
        <f aca="false">AU69-AX69</f>
        <v>0</v>
      </c>
      <c r="BB69" s="26" t="n">
        <f aca="false">AV69-AY69</f>
        <v>0</v>
      </c>
      <c r="BC69" s="31" t="n">
        <f aca="false">AK69-AW69-AX69-AY69</f>
        <v>0</v>
      </c>
      <c r="BD69" s="27" t="n">
        <f aca="false">AW69+IF((BA69&gt;AZ69)+(BB69&gt;AZ69)&lt;BC69,1,0)</f>
        <v>0</v>
      </c>
      <c r="BE69" s="27" t="n">
        <f aca="false">AX69+IF((AZ69&gt;BA69)+(BB69&gt;BA69)+(AZ69=BA69)&lt;BC69,1,0)</f>
        <v>0</v>
      </c>
      <c r="BF69" s="27" t="n">
        <f aca="false">AY69+IF((AZ69&gt;BB69)+(BA69&gt;BB69)+(AZ69=BB69)+(BA69=BB69)&lt;BC69,1,0)</f>
        <v>0</v>
      </c>
    </row>
    <row r="70" customFormat="false" ht="15" hidden="false" customHeight="false" outlineLevel="0" collapsed="false">
      <c r="A70" s="22" t="str">
        <f aca="false">'District Data'!A70</f>
        <v>Matiari</v>
      </c>
      <c r="B70" s="22" t="str">
        <f aca="false">'District Data'!C70</f>
        <v>Karachi Region</v>
      </c>
      <c r="C70" s="22" t="str">
        <f aca="false">'District Data'!D70</f>
        <v>Neighbouring</v>
      </c>
      <c r="D70" s="23" t="n">
        <f aca="false">ROUND('District Data'!E70*'District Data'!F70,0)</f>
        <v>154545</v>
      </c>
      <c r="E70" s="23" t="n">
        <f aca="false">'District Data'!I70</f>
        <v>31</v>
      </c>
      <c r="F70" s="23" t="n">
        <f aca="false">'District Data'!L70</f>
        <v>30155.1</v>
      </c>
      <c r="G70" s="24" t="n">
        <f aca="false">IFERROR(F70/(E70*Weeks),0)</f>
        <v>18.7066377171216</v>
      </c>
      <c r="H70" s="25" t="n">
        <f aca="false">IFERROR('District Data'!N70/('District Data'!M70*Weeks),0)</f>
        <v>13.9746153846154</v>
      </c>
      <c r="I70" s="24" t="n">
        <f aca="false">IFERROR(SUMIFS('District Data'!$N$5:$N$119,'District Data'!$C$5:$C$119,B70)/(SUMIFS('District Data'!$M$5:$M$119,'District Data'!$C$5:$C$119,B70)*Weeks),0)</f>
        <v>12.952446872194</v>
      </c>
      <c r="J70" s="24" t="n">
        <f aca="false">IF(TPBasis="NI TP",IF(H70&gt;0,H70,I70),G70)</f>
        <v>13.9746153846154</v>
      </c>
      <c r="K70" s="26" t="n">
        <f aca="false">IFERROR(F70/D70,0)</f>
        <v>0.195121809181792</v>
      </c>
      <c r="L70" s="27" t="n">
        <f aca="false">IFERROR(D70/E70,0)</f>
        <v>4985.32258064516</v>
      </c>
      <c r="M70" s="28" t="n">
        <f aca="false">IFERROR('District Data'!L70/'District Data'!K70-1,0)</f>
        <v>0.0508248363917676</v>
      </c>
      <c r="N70" s="28" t="n">
        <f aca="false">IFERROR(('District Data'!L70/'District Data'!J70)^(1/2)-1,0)</f>
        <v>0.0574916650807396</v>
      </c>
      <c r="O70" s="28" t="n">
        <f aca="false">IFERROR('District Data'!I70/'District Data'!H70-1,0)</f>
        <v>0.107142857142857</v>
      </c>
      <c r="P70" s="7" t="str">
        <f aca="false">IF(K70&gt;=PCC_L1,"Layer 01",IF(K70&gt;=PCC_L2,"Layer 02",IF(K70&gt;=PCC_L3,"Layer 03",IF(K70&gt;=PCC_L4,"Layer 04","Layer 05"))))</f>
        <v>Layer 05</v>
      </c>
      <c r="Q70" s="7" t="str">
        <f aca="false">IF(L70&gt;=PPO_L1,"Layer 01",IF(L70&gt;=PPO_L2,"Layer 02",IF(L70&gt;=PPO_L3,"Layer 03",IF(L70&gt;=PPO_L4,"Layer 04","Layer 05"))))</f>
        <v>Layer 03</v>
      </c>
      <c r="R70" s="29" t="n">
        <f aca="false">D70/IdealPPO-E70</f>
        <v>175.06</v>
      </c>
      <c r="S70" s="29" t="n">
        <f aca="false">IdealTP*Weeks-(Weeks*J70+FirstFill)</f>
        <v>-26.6800000000001</v>
      </c>
      <c r="T70" s="29" t="n">
        <f aca="false">IF(S70&gt;0,(F70-IdealTP*Weeks*E70)/S70,1000000000000)</f>
        <v>1000000000000</v>
      </c>
      <c r="U70" s="27" t="n">
        <f aca="false">IF(E70&lt;=0,0,IF(G70&lt;=IdealTP,0,IF(L70&lt;=IdealPPO,0,INT(MIN(T70,R70)+0.000000001))))</f>
        <v>175</v>
      </c>
      <c r="V70" s="7" t="str">
        <f aca="false">IF(E70&lt;=0,"No current outlets",IF(G70&lt;=IdealTP,"TP already at or below ideal",IF(L70&lt;=IdealPPO,"PPO already at or below ideal",IF(T70&lt;=R70,"Stopped by TP reaching ideal","Stopped by PPO reaching ideal"))))</f>
        <v>Stopped by PPO reaching ideal</v>
      </c>
      <c r="W70" s="30" t="n">
        <f aca="false">F70+U70*(Weeks*J70+FirstFill)</f>
        <v>171324.1</v>
      </c>
      <c r="X70" s="30" t="n">
        <f aca="false">E70+U70</f>
        <v>206</v>
      </c>
      <c r="Y70" s="24" t="n">
        <f aca="false">IFERROR(W70/(X70*Weeks),0)</f>
        <v>15.9936613144137</v>
      </c>
      <c r="Z70" s="30" t="n">
        <f aca="false">IFERROR(D70/X70,0)</f>
        <v>750.218446601942</v>
      </c>
      <c r="AA70" s="7" t="str">
        <f aca="false">IF(AND(K70&gt;=NationalPCC,L70&gt;IdealPPO),"Q1: High PCC, High PPO",IF(K70&gt;=NationalPCC,"Q2: High PCC, Low PPO",IF(L70&gt;IdealPPO,"Q3: Low PCC, High PPO","Q4: Low PCC, Low PPO")))</f>
        <v>Q3: Low PCC, High PPO</v>
      </c>
      <c r="AB70" s="7" t="str">
        <f aca="false">IF(K70&gt;=NationalPCC,IF(L70&gt;IdealPPO,"Phase 1","Phase 2"),"Phase 3")</f>
        <v>Phase 3</v>
      </c>
      <c r="AC70" s="7" t="str">
        <f aca="false">IF(AND(G70&gt;IdealTP,L70&gt;IdealPPO),"High TP, High PPO",IF(G70&gt;IdealTP,"High TP, Low PPO",IF(L70&gt;IdealPPO,"Low TP, High PPO","Low TP, Low PPO")))</f>
        <v>High TP, High PPO</v>
      </c>
      <c r="AD70" s="31" t="n">
        <f aca="false">INDEX(WaveNumbers,MATCH(C70,WaveNames,0))</f>
        <v>2</v>
      </c>
      <c r="AE70" s="32" t="n">
        <f aca="false">IF(U70&gt;0,AD70*10000000+VALUE(RIGHT(AB70,1))*1000000+(1000000-U70)+ROW()/1000000,"")</f>
        <v>23999825.00007</v>
      </c>
      <c r="AF70" s="31" t="n">
        <f aca="false">IF(U70&gt;0,COUNTIFS($AE$5:$AE$119,"&lt;"&amp;AE70)+1,"")</f>
        <v>25</v>
      </c>
      <c r="AG70" s="7" t="str">
        <f aca="false">IF(AF70="","No",IF(AF70&lt;=TopN,"Yes","No"))</f>
        <v>Yes</v>
      </c>
      <c r="AH70" s="30" t="n">
        <f aca="false">INT('District Data'!O70*ConvRate)</f>
        <v>12</v>
      </c>
      <c r="AI70" s="27" t="n">
        <f aca="false">MIN(U70,AH70)</f>
        <v>12</v>
      </c>
      <c r="AJ70" s="7" t="str">
        <f aca="false">IF(U70=0,"No expansion",IF(AH70&lt;U70,"Supply constrained (not enough shops)","Demand constrained (enough shops)"))</f>
        <v>Supply constrained (not enough shops)</v>
      </c>
      <c r="AK70" s="30" t="n">
        <f aca="false">IF(AG70="Yes",AI70,0)</f>
        <v>12</v>
      </c>
      <c r="AL70" s="26" t="n">
        <f aca="false">IF(AG70="Yes",IF(Budget1&gt;=ShortlistFinal,AK70,AK70/ShortlistFinal*Budget1),0)</f>
        <v>7.09534368070954</v>
      </c>
      <c r="AM70" s="30" t="n">
        <f aca="false">INT(AL70)</f>
        <v>7</v>
      </c>
      <c r="AN70" s="26" t="n">
        <f aca="false">IF(AND(AG70="Yes",Budget1&lt;ShortlistFinal),AL70-AM70,-1)</f>
        <v>0.0953436807095347</v>
      </c>
      <c r="AO70" s="27" t="n">
        <f aca="false">IF(AG70&lt;&gt;"Yes",0,IF(Budget1&gt;=ShortlistFinal,AK70,AM70+IF(COUNTIFS($AN$5:$AN$119,"&gt;"&amp;AN70)+COUNTIFS($AN$5:$AN$119,AN70,$AF$5:$AF$119,"&lt;"&amp;AF70)&lt;Budget1-SUM($AM$5:$AM$119),1,0)))</f>
        <v>7</v>
      </c>
      <c r="AP70" s="26" t="n">
        <f aca="false">IF(AG70="Yes",IF(Budget2&gt;=ShortlistFinal,AK70,AK70/ShortlistFinal*Budget2),0)</f>
        <v>10.6430155210643</v>
      </c>
      <c r="AQ70" s="30" t="n">
        <f aca="false">INT(AP70)</f>
        <v>10</v>
      </c>
      <c r="AR70" s="26" t="n">
        <f aca="false">IF(AND(AG70="Yes",Budget2&lt;ShortlistFinal),AP70-AQ70,-1)</f>
        <v>0.643015521064301</v>
      </c>
      <c r="AS70" s="27" t="n">
        <f aca="false">IF(AG70&lt;&gt;"Yes",0,IF(Budget2&gt;=ShortlistFinal,AK70,AQ70+IF(COUNTIFS($AR$5:$AR$119,"&gt;"&amp;AR70)+COUNTIFS($AR$5:$AR$119,AR70,$AF$5:$AF$119,"&lt;"&amp;AF70)&lt;Budget2-SUM($AQ$5:$AQ$119),1,0)))</f>
        <v>11</v>
      </c>
      <c r="AT70" s="26" t="n">
        <f aca="false">AK70*Share2025</f>
        <v>4.23529411764706</v>
      </c>
      <c r="AU70" s="26" t="n">
        <f aca="false">AK70*Share2026</f>
        <v>4.23529411764706</v>
      </c>
      <c r="AV70" s="26" t="n">
        <f aca="false">AK70*Share2027</f>
        <v>3.52941176470588</v>
      </c>
      <c r="AW70" s="31" t="n">
        <f aca="false">INT(AT70)</f>
        <v>4</v>
      </c>
      <c r="AX70" s="31" t="n">
        <f aca="false">INT(AU70)</f>
        <v>4</v>
      </c>
      <c r="AY70" s="31" t="n">
        <f aca="false">INT(AV70)</f>
        <v>3</v>
      </c>
      <c r="AZ70" s="26" t="n">
        <f aca="false">AT70-AW70</f>
        <v>0.23529411764706</v>
      </c>
      <c r="BA70" s="26" t="n">
        <f aca="false">AU70-AX70</f>
        <v>0.23529411764706</v>
      </c>
      <c r="BB70" s="26" t="n">
        <f aca="false">AV70-AY70</f>
        <v>0.529411764705882</v>
      </c>
      <c r="BC70" s="31" t="n">
        <f aca="false">AK70-AW70-AX70-AY70</f>
        <v>1</v>
      </c>
      <c r="BD70" s="27" t="n">
        <f aca="false">AW70+IF((BA70&gt;AZ70)+(BB70&gt;AZ70)&lt;BC70,1,0)</f>
        <v>4</v>
      </c>
      <c r="BE70" s="27" t="n">
        <f aca="false">AX70+IF((AZ70&gt;BA70)+(BB70&gt;BA70)+(AZ70=BA70)&lt;BC70,1,0)</f>
        <v>4</v>
      </c>
      <c r="BF70" s="27" t="n">
        <f aca="false">AY70+IF((AZ70&gt;BB70)+(BA70&gt;BB70)+(AZ70=BB70)+(BA70=BB70)&lt;BC70,1,0)</f>
        <v>4</v>
      </c>
    </row>
    <row r="71" customFormat="false" ht="15" hidden="false" customHeight="false" outlineLevel="0" collapsed="false">
      <c r="A71" s="22" t="str">
        <f aca="false">'District Data'!A71</f>
        <v>Mianwali</v>
      </c>
      <c r="B71" s="22" t="str">
        <f aca="false">'District Data'!C71</f>
        <v>Peshawar Region</v>
      </c>
      <c r="C71" s="22" t="str">
        <f aca="false">'District Data'!D71</f>
        <v>Neighbouring</v>
      </c>
      <c r="D71" s="23" t="n">
        <f aca="false">ROUND('District Data'!E71*'District Data'!F71,0)</f>
        <v>529465</v>
      </c>
      <c r="E71" s="23" t="n">
        <f aca="false">'District Data'!I71</f>
        <v>67</v>
      </c>
      <c r="F71" s="23" t="n">
        <f aca="false">'District Data'!L71</f>
        <v>44811.9</v>
      </c>
      <c r="G71" s="24" t="n">
        <f aca="false">IFERROR(F71/(E71*Weeks),0)</f>
        <v>12.8621986222733</v>
      </c>
      <c r="H71" s="25" t="n">
        <f aca="false">IFERROR('District Data'!N71/('District Data'!M71*Weeks),0)</f>
        <v>4.20673076923077</v>
      </c>
      <c r="I71" s="24" t="n">
        <f aca="false">IFERROR(SUMIFS('District Data'!$N$5:$N$119,'District Data'!$C$5:$C$119,B71)/(SUMIFS('District Data'!$M$5:$M$119,'District Data'!$C$5:$C$119,B71)*Weeks),0)</f>
        <v>7.60397053195561</v>
      </c>
      <c r="J71" s="24" t="n">
        <f aca="false">IF(TPBasis="NI TP",IF(H71&gt;0,H71,I71),G71)</f>
        <v>4.20673076923077</v>
      </c>
      <c r="K71" s="26" t="n">
        <f aca="false">IFERROR(F71/D71,0)</f>
        <v>0.0846361893609587</v>
      </c>
      <c r="L71" s="27" t="n">
        <f aca="false">IFERROR(D71/E71,0)</f>
        <v>7902.46268656716</v>
      </c>
      <c r="M71" s="28" t="n">
        <f aca="false">IFERROR('District Data'!L71/'District Data'!K71-1,0)</f>
        <v>-0.00719151905885473</v>
      </c>
      <c r="N71" s="28" t="n">
        <f aca="false">IFERROR(('District Data'!L71/'District Data'!J71)^(1/2)-1,0)</f>
        <v>-0.0153866147174038</v>
      </c>
      <c r="O71" s="28" t="n">
        <f aca="false">IFERROR('District Data'!I71/'District Data'!H71-1,0)</f>
        <v>0.0151515151515151</v>
      </c>
      <c r="P71" s="7" t="str">
        <f aca="false">IF(K71&gt;=PCC_L1,"Layer 01",IF(K71&gt;=PCC_L2,"Layer 02",IF(K71&gt;=PCC_L3,"Layer 03",IF(K71&gt;=PCC_L4,"Layer 04","Layer 05"))))</f>
        <v>Layer 05</v>
      </c>
      <c r="Q71" s="7" t="str">
        <f aca="false">IF(L71&gt;=PPO_L1,"Layer 01",IF(L71&gt;=PPO_L2,"Layer 02",IF(L71&gt;=PPO_L3,"Layer 03",IF(L71&gt;=PPO_L4,"Layer 04","Layer 05"))))</f>
        <v>Layer 03</v>
      </c>
      <c r="R71" s="29" t="n">
        <f aca="false">D71/IdealPPO-E71</f>
        <v>638.953333333333</v>
      </c>
      <c r="S71" s="29" t="n">
        <f aca="false">IdealTP*Weeks-(Weeks*J71+FirstFill)</f>
        <v>481.25</v>
      </c>
      <c r="T71" s="29" t="n">
        <f aca="false">IF(S71&gt;0,(F71-IdealTP*Weeks*E71)/S71,1000000000000)</f>
        <v>-15.4765714285714</v>
      </c>
      <c r="U71" s="27" t="n">
        <f aca="false">IF(E71&lt;=0,0,IF(G71&lt;=IdealTP,0,IF(L71&lt;=IdealPPO,0,INT(MIN(T71,R71)+0.000000001))))</f>
        <v>0</v>
      </c>
      <c r="V71" s="7" t="str">
        <f aca="false">IF(E71&lt;=0,"No current outlets",IF(G71&lt;=IdealTP,"TP already at or below ideal",IF(L71&lt;=IdealPPO,"PPO already at or below ideal",IF(T71&lt;=R71,"Stopped by TP reaching ideal","Stopped by PPO reaching ideal"))))</f>
        <v>TP already at or below ideal</v>
      </c>
      <c r="W71" s="30" t="n">
        <f aca="false">F71+U71*(Weeks*J71+FirstFill)</f>
        <v>44811.9</v>
      </c>
      <c r="X71" s="30" t="n">
        <f aca="false">E71+U71</f>
        <v>67</v>
      </c>
      <c r="Y71" s="24" t="n">
        <f aca="false">IFERROR(W71/(X71*Weeks),0)</f>
        <v>12.8621986222733</v>
      </c>
      <c r="Z71" s="30" t="n">
        <f aca="false">IFERROR(D71/X71,0)</f>
        <v>7902.46268656716</v>
      </c>
      <c r="AA71" s="7" t="str">
        <f aca="false">IF(AND(K71&gt;=NationalPCC,L71&gt;IdealPPO),"Q1: High PCC, High PPO",IF(K71&gt;=NationalPCC,"Q2: High PCC, Low PPO",IF(L71&gt;IdealPPO,"Q3: Low PCC, High PPO","Q4: Low PCC, Low PPO")))</f>
        <v>Q3: Low PCC, High PPO</v>
      </c>
      <c r="AB71" s="7" t="str">
        <f aca="false">IF(K71&gt;=NationalPCC,IF(L71&gt;IdealPPO,"Phase 1","Phase 2"),"Phase 3")</f>
        <v>Phase 3</v>
      </c>
      <c r="AC71" s="7" t="str">
        <f aca="false">IF(AND(G71&gt;IdealTP,L71&gt;IdealPPO),"High TP, High PPO",IF(G71&gt;IdealTP,"High TP, Low PPO",IF(L71&gt;IdealPPO,"Low TP, High PPO","Low TP, Low PPO")))</f>
        <v>Low TP, High PPO</v>
      </c>
      <c r="AD71" s="31" t="n">
        <f aca="false">INDEX(WaveNumbers,MATCH(C71,WaveNames,0))</f>
        <v>2</v>
      </c>
      <c r="AE71" s="32" t="str">
        <f aca="false">IF(U71&gt;0,AD71*10000000+VALUE(RIGHT(AB71,1))*1000000+(1000000-U71)+ROW()/1000000,"")</f>
        <v/>
      </c>
      <c r="AF71" s="31" t="str">
        <f aca="false">IF(U71&gt;0,COUNTIFS($AE$5:$AE$119,"&lt;"&amp;AE71)+1,"")</f>
        <v/>
      </c>
      <c r="AG71" s="7" t="str">
        <f aca="false">IF(AF71="","No",IF(AF71&lt;=TopN,"Yes","No"))</f>
        <v>No</v>
      </c>
      <c r="AH71" s="30" t="n">
        <f aca="false">INT('District Data'!O71*ConvRate)</f>
        <v>45</v>
      </c>
      <c r="AI71" s="27" t="n">
        <f aca="false">MIN(U71,AH71)</f>
        <v>0</v>
      </c>
      <c r="AJ71" s="7" t="str">
        <f aca="false">IF(U71=0,"No expansion",IF(AH71&lt;U71,"Supply constrained (not enough shops)","Demand constrained (enough shops)"))</f>
        <v>No expansion</v>
      </c>
      <c r="AK71" s="30" t="n">
        <f aca="false">IF(AG71="Yes",AI71,0)</f>
        <v>0</v>
      </c>
      <c r="AL71" s="26" t="n">
        <f aca="false">IF(AG71="Yes",IF(Budget1&gt;=ShortlistFinal,AK71,AK71/ShortlistFinal*Budget1),0)</f>
        <v>0</v>
      </c>
      <c r="AM71" s="30" t="n">
        <f aca="false">INT(AL71)</f>
        <v>0</v>
      </c>
      <c r="AN71" s="26" t="n">
        <f aca="false">IF(AND(AG71="Yes",Budget1&lt;ShortlistFinal),AL71-AM71,-1)</f>
        <v>-1</v>
      </c>
      <c r="AO71" s="27" t="n">
        <f aca="false">IF(AG71&lt;&gt;"Yes",0,IF(Budget1&gt;=ShortlistFinal,AK71,AM71+IF(COUNTIFS($AN$5:$AN$119,"&gt;"&amp;AN71)+COUNTIFS($AN$5:$AN$119,AN71,$AF$5:$AF$119,"&lt;"&amp;AF71)&lt;Budget1-SUM($AM$5:$AM$119),1,0)))</f>
        <v>0</v>
      </c>
      <c r="AP71" s="26" t="n">
        <f aca="false">IF(AG71="Yes",IF(Budget2&gt;=ShortlistFinal,AK71,AK71/ShortlistFinal*Budget2),0)</f>
        <v>0</v>
      </c>
      <c r="AQ71" s="30" t="n">
        <f aca="false">INT(AP71)</f>
        <v>0</v>
      </c>
      <c r="AR71" s="26" t="n">
        <f aca="false">IF(AND(AG71="Yes",Budget2&lt;ShortlistFinal),AP71-AQ71,-1)</f>
        <v>-1</v>
      </c>
      <c r="AS71" s="27" t="n">
        <f aca="false">IF(AG71&lt;&gt;"Yes",0,IF(Budget2&gt;=ShortlistFinal,AK71,AQ71+IF(COUNTIFS($AR$5:$AR$119,"&gt;"&amp;AR71)+COUNTIFS($AR$5:$AR$119,AR71,$AF$5:$AF$119,"&lt;"&amp;AF71)&lt;Budget2-SUM($AQ$5:$AQ$119),1,0)))</f>
        <v>0</v>
      </c>
      <c r="AT71" s="26" t="n">
        <f aca="false">AK71*Share2025</f>
        <v>0</v>
      </c>
      <c r="AU71" s="26" t="n">
        <f aca="false">AK71*Share2026</f>
        <v>0</v>
      </c>
      <c r="AV71" s="26" t="n">
        <f aca="false">AK71*Share2027</f>
        <v>0</v>
      </c>
      <c r="AW71" s="31" t="n">
        <f aca="false">INT(AT71)</f>
        <v>0</v>
      </c>
      <c r="AX71" s="31" t="n">
        <f aca="false">INT(AU71)</f>
        <v>0</v>
      </c>
      <c r="AY71" s="31" t="n">
        <f aca="false">INT(AV71)</f>
        <v>0</v>
      </c>
      <c r="AZ71" s="26" t="n">
        <f aca="false">AT71-AW71</f>
        <v>0</v>
      </c>
      <c r="BA71" s="26" t="n">
        <f aca="false">AU71-AX71</f>
        <v>0</v>
      </c>
      <c r="BB71" s="26" t="n">
        <f aca="false">AV71-AY71</f>
        <v>0</v>
      </c>
      <c r="BC71" s="31" t="n">
        <f aca="false">AK71-AW71-AX71-AY71</f>
        <v>0</v>
      </c>
      <c r="BD71" s="27" t="n">
        <f aca="false">AW71+IF((BA71&gt;AZ71)+(BB71&gt;AZ71)&lt;BC71,1,0)</f>
        <v>0</v>
      </c>
      <c r="BE71" s="27" t="n">
        <f aca="false">AX71+IF((AZ71&gt;BA71)+(BB71&gt;BA71)+(AZ71=BA71)&lt;BC71,1,0)</f>
        <v>0</v>
      </c>
      <c r="BF71" s="27" t="n">
        <f aca="false">AY71+IF((AZ71&gt;BB71)+(BA71&gt;BB71)+(AZ71=BB71)+(BA71=BB71)&lt;BC71,1,0)</f>
        <v>0</v>
      </c>
    </row>
    <row r="72" customFormat="false" ht="15" hidden="false" customHeight="false" outlineLevel="0" collapsed="false">
      <c r="A72" s="22" t="str">
        <f aca="false">'District Data'!A72</f>
        <v>Mirpurkhas</v>
      </c>
      <c r="B72" s="22" t="str">
        <f aca="false">'District Data'!C72</f>
        <v>Karachi Region</v>
      </c>
      <c r="C72" s="22" t="str">
        <f aca="false">'District Data'!D72</f>
        <v>Neighbouring</v>
      </c>
      <c r="D72" s="23" t="n">
        <f aca="false">ROUND('District Data'!E72*'District Data'!F72,0)</f>
        <v>411083</v>
      </c>
      <c r="E72" s="23" t="n">
        <f aca="false">'District Data'!I72</f>
        <v>127</v>
      </c>
      <c r="F72" s="23" t="n">
        <f aca="false">'District Data'!L72</f>
        <v>77787.4</v>
      </c>
      <c r="G72" s="24" t="n">
        <f aca="false">IFERROR(F72/(E72*Weeks),0)</f>
        <v>11.7788310115082</v>
      </c>
      <c r="H72" s="25" t="n">
        <f aca="false">IFERROR('District Data'!N72/('District Data'!M72*Weeks),0)</f>
        <v>5.94023668639053</v>
      </c>
      <c r="I72" s="24" t="n">
        <f aca="false">IFERROR(SUMIFS('District Data'!$N$5:$N$119,'District Data'!$C$5:$C$119,B72)/(SUMIFS('District Data'!$M$5:$M$119,'District Data'!$C$5:$C$119,B72)*Weeks),0)</f>
        <v>12.952446872194</v>
      </c>
      <c r="J72" s="24" t="n">
        <f aca="false">IF(TPBasis="NI TP",IF(H72&gt;0,H72,I72),G72)</f>
        <v>5.94023668639053</v>
      </c>
      <c r="K72" s="26" t="n">
        <f aca="false">IFERROR(F72/D72,0)</f>
        <v>0.189225533529725</v>
      </c>
      <c r="L72" s="27" t="n">
        <f aca="false">IFERROR(D72/E72,0)</f>
        <v>3236.87401574803</v>
      </c>
      <c r="M72" s="28" t="n">
        <f aca="false">IFERROR('District Data'!L72/'District Data'!K72-1,0)</f>
        <v>0.0223292906671713</v>
      </c>
      <c r="N72" s="28" t="n">
        <f aca="false">IFERROR(('District Data'!L72/'District Data'!J72)^(1/2)-1,0)</f>
        <v>0.0292505711861271</v>
      </c>
      <c r="O72" s="28" t="n">
        <f aca="false">IFERROR('District Data'!I72/'District Data'!H72-1,0)</f>
        <v>0.076271186440678</v>
      </c>
      <c r="P72" s="7" t="str">
        <f aca="false">IF(K72&gt;=PCC_L1,"Layer 01",IF(K72&gt;=PCC_L2,"Layer 02",IF(K72&gt;=PCC_L3,"Layer 03",IF(K72&gt;=PCC_L4,"Layer 04","Layer 05"))))</f>
        <v>Layer 05</v>
      </c>
      <c r="Q72" s="7" t="str">
        <f aca="false">IF(L72&gt;=PPO_L1,"Layer 01",IF(L72&gt;=PPO_L2,"Layer 02",IF(L72&gt;=PPO_L3,"Layer 03",IF(L72&gt;=PPO_L4,"Layer 04","Layer 05"))))</f>
        <v>Layer 04</v>
      </c>
      <c r="R72" s="29" t="n">
        <f aca="false">D72/IdealPPO-E72</f>
        <v>421.110666666667</v>
      </c>
      <c r="S72" s="29" t="n">
        <f aca="false">IdealTP*Weeks-(Weeks*J72+FirstFill)</f>
        <v>391.107692307692</v>
      </c>
      <c r="T72" s="29" t="n">
        <f aca="false">IF(S72&gt;0,(F72-IdealTP*Weeks*E72)/S72,1000000000000)</f>
        <v>-54.3906458972544</v>
      </c>
      <c r="U72" s="27" t="n">
        <f aca="false">IF(E72&lt;=0,0,IF(G72&lt;=IdealTP,0,IF(L72&lt;=IdealPPO,0,INT(MIN(T72,R72)+0.000000001))))</f>
        <v>0</v>
      </c>
      <c r="V72" s="7" t="str">
        <f aca="false">IF(E72&lt;=0,"No current outlets",IF(G72&lt;=IdealTP,"TP already at or below ideal",IF(L72&lt;=IdealPPO,"PPO already at or below ideal",IF(T72&lt;=R72,"Stopped by TP reaching ideal","Stopped by PPO reaching ideal"))))</f>
        <v>TP already at or below ideal</v>
      </c>
      <c r="W72" s="30" t="n">
        <f aca="false">F72+U72*(Weeks*J72+FirstFill)</f>
        <v>77787.4</v>
      </c>
      <c r="X72" s="30" t="n">
        <f aca="false">E72+U72</f>
        <v>127</v>
      </c>
      <c r="Y72" s="24" t="n">
        <f aca="false">IFERROR(W72/(X72*Weeks),0)</f>
        <v>11.7788310115082</v>
      </c>
      <c r="Z72" s="30" t="n">
        <f aca="false">IFERROR(D72/X72,0)</f>
        <v>3236.87401574803</v>
      </c>
      <c r="AA72" s="7" t="str">
        <f aca="false">IF(AND(K72&gt;=NationalPCC,L72&gt;IdealPPO),"Q1: High PCC, High PPO",IF(K72&gt;=NationalPCC,"Q2: High PCC, Low PPO",IF(L72&gt;IdealPPO,"Q3: Low PCC, High PPO","Q4: Low PCC, Low PPO")))</f>
        <v>Q3: Low PCC, High PPO</v>
      </c>
      <c r="AB72" s="7" t="str">
        <f aca="false">IF(K72&gt;=NationalPCC,IF(L72&gt;IdealPPO,"Phase 1","Phase 2"),"Phase 3")</f>
        <v>Phase 3</v>
      </c>
      <c r="AC72" s="7" t="str">
        <f aca="false">IF(AND(G72&gt;IdealTP,L72&gt;IdealPPO),"High TP, High PPO",IF(G72&gt;IdealTP,"High TP, Low PPO",IF(L72&gt;IdealPPO,"Low TP, High PPO","Low TP, Low PPO")))</f>
        <v>Low TP, High PPO</v>
      </c>
      <c r="AD72" s="31" t="n">
        <f aca="false">INDEX(WaveNumbers,MATCH(C72,WaveNames,0))</f>
        <v>2</v>
      </c>
      <c r="AE72" s="32" t="str">
        <f aca="false">IF(U72&gt;0,AD72*10000000+VALUE(RIGHT(AB72,1))*1000000+(1000000-U72)+ROW()/1000000,"")</f>
        <v/>
      </c>
      <c r="AF72" s="31" t="str">
        <f aca="false">IF(U72&gt;0,COUNTIFS($AE$5:$AE$119,"&lt;"&amp;AE72)+1,"")</f>
        <v/>
      </c>
      <c r="AG72" s="7" t="str">
        <f aca="false">IF(AF72="","No",IF(AF72&lt;=TopN,"Yes","No"))</f>
        <v>No</v>
      </c>
      <c r="AH72" s="30" t="n">
        <f aca="false">INT('District Data'!O72*ConvRate)</f>
        <v>18</v>
      </c>
      <c r="AI72" s="27" t="n">
        <f aca="false">MIN(U72,AH72)</f>
        <v>0</v>
      </c>
      <c r="AJ72" s="7" t="str">
        <f aca="false">IF(U72=0,"No expansion",IF(AH72&lt;U72,"Supply constrained (not enough shops)","Demand constrained (enough shops)"))</f>
        <v>No expansion</v>
      </c>
      <c r="AK72" s="30" t="n">
        <f aca="false">IF(AG72="Yes",AI72,0)</f>
        <v>0</v>
      </c>
      <c r="AL72" s="26" t="n">
        <f aca="false">IF(AG72="Yes",IF(Budget1&gt;=ShortlistFinal,AK72,AK72/ShortlistFinal*Budget1),0)</f>
        <v>0</v>
      </c>
      <c r="AM72" s="30" t="n">
        <f aca="false">INT(AL72)</f>
        <v>0</v>
      </c>
      <c r="AN72" s="26" t="n">
        <f aca="false">IF(AND(AG72="Yes",Budget1&lt;ShortlistFinal),AL72-AM72,-1)</f>
        <v>-1</v>
      </c>
      <c r="AO72" s="27" t="n">
        <f aca="false">IF(AG72&lt;&gt;"Yes",0,IF(Budget1&gt;=ShortlistFinal,AK72,AM72+IF(COUNTIFS($AN$5:$AN$119,"&gt;"&amp;AN72)+COUNTIFS($AN$5:$AN$119,AN72,$AF$5:$AF$119,"&lt;"&amp;AF72)&lt;Budget1-SUM($AM$5:$AM$119),1,0)))</f>
        <v>0</v>
      </c>
      <c r="AP72" s="26" t="n">
        <f aca="false">IF(AG72="Yes",IF(Budget2&gt;=ShortlistFinal,AK72,AK72/ShortlistFinal*Budget2),0)</f>
        <v>0</v>
      </c>
      <c r="AQ72" s="30" t="n">
        <f aca="false">INT(AP72)</f>
        <v>0</v>
      </c>
      <c r="AR72" s="26" t="n">
        <f aca="false">IF(AND(AG72="Yes",Budget2&lt;ShortlistFinal),AP72-AQ72,-1)</f>
        <v>-1</v>
      </c>
      <c r="AS72" s="27" t="n">
        <f aca="false">IF(AG72&lt;&gt;"Yes",0,IF(Budget2&gt;=ShortlistFinal,AK72,AQ72+IF(COUNTIFS($AR$5:$AR$119,"&gt;"&amp;AR72)+COUNTIFS($AR$5:$AR$119,AR72,$AF$5:$AF$119,"&lt;"&amp;AF72)&lt;Budget2-SUM($AQ$5:$AQ$119),1,0)))</f>
        <v>0</v>
      </c>
      <c r="AT72" s="26" t="n">
        <f aca="false">AK72*Share2025</f>
        <v>0</v>
      </c>
      <c r="AU72" s="26" t="n">
        <f aca="false">AK72*Share2026</f>
        <v>0</v>
      </c>
      <c r="AV72" s="26" t="n">
        <f aca="false">AK72*Share2027</f>
        <v>0</v>
      </c>
      <c r="AW72" s="31" t="n">
        <f aca="false">INT(AT72)</f>
        <v>0</v>
      </c>
      <c r="AX72" s="31" t="n">
        <f aca="false">INT(AU72)</f>
        <v>0</v>
      </c>
      <c r="AY72" s="31" t="n">
        <f aca="false">INT(AV72)</f>
        <v>0</v>
      </c>
      <c r="AZ72" s="26" t="n">
        <f aca="false">AT72-AW72</f>
        <v>0</v>
      </c>
      <c r="BA72" s="26" t="n">
        <f aca="false">AU72-AX72</f>
        <v>0</v>
      </c>
      <c r="BB72" s="26" t="n">
        <f aca="false">AV72-AY72</f>
        <v>0</v>
      </c>
      <c r="BC72" s="31" t="n">
        <f aca="false">AK72-AW72-AX72-AY72</f>
        <v>0</v>
      </c>
      <c r="BD72" s="27" t="n">
        <f aca="false">AW72+IF((BA72&gt;AZ72)+(BB72&gt;AZ72)&lt;BC72,1,0)</f>
        <v>0</v>
      </c>
      <c r="BE72" s="27" t="n">
        <f aca="false">AX72+IF((AZ72&gt;BA72)+(BB72&gt;BA72)+(AZ72=BA72)&lt;BC72,1,0)</f>
        <v>0</v>
      </c>
      <c r="BF72" s="27" t="n">
        <f aca="false">AY72+IF((AZ72&gt;BB72)+(BA72&gt;BB72)+(AZ72=BB72)+(BA72=BB72)&lt;BC72,1,0)</f>
        <v>0</v>
      </c>
    </row>
    <row r="73" customFormat="false" ht="15" hidden="false" customHeight="false" outlineLevel="0" collapsed="false">
      <c r="A73" s="22" t="str">
        <f aca="false">'District Data'!A73</f>
        <v>Mohmand</v>
      </c>
      <c r="B73" s="22" t="str">
        <f aca="false">'District Data'!C73</f>
        <v>Peshawar Region</v>
      </c>
      <c r="C73" s="22" t="str">
        <f aca="false">'District Data'!D73</f>
        <v>Neighbouring</v>
      </c>
      <c r="D73" s="23" t="n">
        <f aca="false">ROUND('District Data'!E73*'District Data'!F73,0)</f>
        <v>73897</v>
      </c>
      <c r="E73" s="23" t="n">
        <f aca="false">'District Data'!I73</f>
        <v>24</v>
      </c>
      <c r="F73" s="23" t="n">
        <f aca="false">'District Data'!L73</f>
        <v>22320.9</v>
      </c>
      <c r="G73" s="24" t="n">
        <f aca="false">IFERROR(F73/(E73*Weeks),0)</f>
        <v>17.8853365384615</v>
      </c>
      <c r="H73" s="25" t="n">
        <f aca="false">IFERROR('District Data'!N73/('District Data'!M73*Weeks),0)</f>
        <v>0</v>
      </c>
      <c r="I73" s="24" t="n">
        <f aca="false">IFERROR(SUMIFS('District Data'!$N$5:$N$119,'District Data'!$C$5:$C$119,B73)/(SUMIFS('District Data'!$M$5:$M$119,'District Data'!$C$5:$C$119,B73)*Weeks),0)</f>
        <v>7.60397053195561</v>
      </c>
      <c r="J73" s="24" t="n">
        <f aca="false">IF(TPBasis="NI TP",IF(H73&gt;0,H73,I73),G73)</f>
        <v>7.60397053195561</v>
      </c>
      <c r="K73" s="26" t="n">
        <f aca="false">IFERROR(F73/D73,0)</f>
        <v>0.302054210590416</v>
      </c>
      <c r="L73" s="27" t="n">
        <f aca="false">IFERROR(D73/E73,0)</f>
        <v>3079.04166666667</v>
      </c>
      <c r="M73" s="28" t="n">
        <f aca="false">IFERROR('District Data'!L73/'District Data'!K73-1,0)</f>
        <v>0.000569297388404388</v>
      </c>
      <c r="N73" s="28" t="n">
        <f aca="false">IFERROR(('District Data'!L73/'District Data'!J73)^(1/2)-1,0)</f>
        <v>0.0348634047295906</v>
      </c>
      <c r="O73" s="28" t="n">
        <f aca="false">IFERROR('District Data'!I73/'District Data'!H73-1,0)</f>
        <v>0</v>
      </c>
      <c r="P73" s="7" t="str">
        <f aca="false">IF(K73&gt;=PCC_L1,"Layer 01",IF(K73&gt;=PCC_L2,"Layer 02",IF(K73&gt;=PCC_L3,"Layer 03",IF(K73&gt;=PCC_L4,"Layer 04","Layer 05"))))</f>
        <v>Layer 04</v>
      </c>
      <c r="Q73" s="7" t="str">
        <f aca="false">IF(L73&gt;=PPO_L1,"Layer 01",IF(L73&gt;=PPO_L2,"Layer 02",IF(L73&gt;=PPO_L3,"Layer 03",IF(L73&gt;=PPO_L4,"Layer 04","Layer 05"))))</f>
        <v>Layer 04</v>
      </c>
      <c r="R73" s="29" t="n">
        <f aca="false">D73/IdealPPO-E73</f>
        <v>74.5293333333333</v>
      </c>
      <c r="S73" s="29" t="n">
        <f aca="false">IdealTP*Weeks-(Weeks*J73+FirstFill)</f>
        <v>304.593532338309</v>
      </c>
      <c r="T73" s="29" t="n">
        <f aca="false">IF(S73&gt;0,(F73-IdealTP*Weeks*E73)/S73,1000000000000)</f>
        <v>11.8219844405643</v>
      </c>
      <c r="U73" s="27" t="n">
        <f aca="false">IF(E73&lt;=0,0,IF(G73&lt;=IdealTP,0,IF(L73&lt;=IdealPPO,0,INT(MIN(T73,R73)+0.000000001))))</f>
        <v>11</v>
      </c>
      <c r="V73" s="7" t="str">
        <f aca="false">IF(E73&lt;=0,"No current outlets",IF(G73&lt;=IdealTP,"TP already at or below ideal",IF(L73&lt;=IdealPPO,"PPO already at or below ideal",IF(T73&lt;=R73,"Stopped by TP reaching ideal","Stopped by PPO reaching ideal"))))</f>
        <v>Stopped by TP reaching ideal</v>
      </c>
      <c r="W73" s="30" t="n">
        <f aca="false">F73+U73*(Weeks*J73+FirstFill)</f>
        <v>27550.3711442786</v>
      </c>
      <c r="X73" s="30" t="n">
        <f aca="false">E73+U73</f>
        <v>35</v>
      </c>
      <c r="Y73" s="24" t="n">
        <f aca="false">IFERROR(W73/(X73*Weeks),0)</f>
        <v>15.1375665627904</v>
      </c>
      <c r="Z73" s="30" t="n">
        <f aca="false">IFERROR(D73/X73,0)</f>
        <v>2111.34285714286</v>
      </c>
      <c r="AA73" s="7" t="str">
        <f aca="false">IF(AND(K73&gt;=NationalPCC,L73&gt;IdealPPO),"Q1: High PCC, High PPO",IF(K73&gt;=NationalPCC,"Q2: High PCC, Low PPO",IF(L73&gt;IdealPPO,"Q3: Low PCC, High PPO","Q4: Low PCC, Low PPO")))</f>
        <v>Q3: Low PCC, High PPO</v>
      </c>
      <c r="AB73" s="7" t="str">
        <f aca="false">IF(K73&gt;=NationalPCC,IF(L73&gt;IdealPPO,"Phase 1","Phase 2"),"Phase 3")</f>
        <v>Phase 3</v>
      </c>
      <c r="AC73" s="7" t="str">
        <f aca="false">IF(AND(G73&gt;IdealTP,L73&gt;IdealPPO),"High TP, High PPO",IF(G73&gt;IdealTP,"High TP, Low PPO",IF(L73&gt;IdealPPO,"Low TP, High PPO","Low TP, Low PPO")))</f>
        <v>High TP, High PPO</v>
      </c>
      <c r="AD73" s="31" t="n">
        <f aca="false">INDEX(WaveNumbers,MATCH(C73,WaveNames,0))</f>
        <v>2</v>
      </c>
      <c r="AE73" s="32" t="n">
        <f aca="false">IF(U73&gt;0,AD73*10000000+VALUE(RIGHT(AB73,1))*1000000+(1000000-U73)+ROW()/1000000,"")</f>
        <v>23999989.000073</v>
      </c>
      <c r="AF73" s="31" t="n">
        <f aca="false">IF(U73&gt;0,COUNTIFS($AE$5:$AE$119,"&lt;"&amp;AE73)+1,"")</f>
        <v>33</v>
      </c>
      <c r="AG73" s="7" t="str">
        <f aca="false">IF(AF73="","No",IF(AF73&lt;=TopN,"Yes","No"))</f>
        <v>Yes</v>
      </c>
      <c r="AH73" s="30" t="n">
        <f aca="false">INT('District Data'!O73*ConvRate)</f>
        <v>4</v>
      </c>
      <c r="AI73" s="27" t="n">
        <f aca="false">MIN(U73,AH73)</f>
        <v>4</v>
      </c>
      <c r="AJ73" s="7" t="str">
        <f aca="false">IF(U73=0,"No expansion",IF(AH73&lt;U73,"Supply constrained (not enough shops)","Demand constrained (enough shops)"))</f>
        <v>Supply constrained (not enough shops)</v>
      </c>
      <c r="AK73" s="30" t="n">
        <f aca="false">IF(AG73="Yes",AI73,0)</f>
        <v>4</v>
      </c>
      <c r="AL73" s="26" t="n">
        <f aca="false">IF(AG73="Yes",IF(Budget1&gt;=ShortlistFinal,AK73,AK73/ShortlistFinal*Budget1),0)</f>
        <v>2.36511456023651</v>
      </c>
      <c r="AM73" s="30" t="n">
        <f aca="false">INT(AL73)</f>
        <v>2</v>
      </c>
      <c r="AN73" s="26" t="n">
        <f aca="false">IF(AND(AG73="Yes",Budget1&lt;ShortlistFinal),AL73-AM73,-1)</f>
        <v>0.365114560236512</v>
      </c>
      <c r="AO73" s="27" t="n">
        <f aca="false">IF(AG73&lt;&gt;"Yes",0,IF(Budget1&gt;=ShortlistFinal,AK73,AM73+IF(COUNTIFS($AN$5:$AN$119,"&gt;"&amp;AN73)+COUNTIFS($AN$5:$AN$119,AN73,$AF$5:$AF$119,"&lt;"&amp;AF73)&lt;Budget1-SUM($AM$5:$AM$119),1,0)))</f>
        <v>2</v>
      </c>
      <c r="AP73" s="26" t="n">
        <f aca="false">IF(AG73="Yes",IF(Budget2&gt;=ShortlistFinal,AK73,AK73/ShortlistFinal*Budget2),0)</f>
        <v>3.54767184035477</v>
      </c>
      <c r="AQ73" s="30" t="n">
        <f aca="false">INT(AP73)</f>
        <v>3</v>
      </c>
      <c r="AR73" s="26" t="n">
        <f aca="false">IF(AND(AG73="Yes",Budget2&lt;ShortlistFinal),AP73-AQ73,-1)</f>
        <v>0.547671840354767</v>
      </c>
      <c r="AS73" s="27" t="n">
        <f aca="false">IF(AG73&lt;&gt;"Yes",0,IF(Budget2&gt;=ShortlistFinal,AK73,AQ73+IF(COUNTIFS($AR$5:$AR$119,"&gt;"&amp;AR73)+COUNTIFS($AR$5:$AR$119,AR73,$AF$5:$AF$119,"&lt;"&amp;AF73)&lt;Budget2-SUM($AQ$5:$AQ$119),1,0)))</f>
        <v>4</v>
      </c>
      <c r="AT73" s="26" t="n">
        <f aca="false">AK73*Share2025</f>
        <v>1.41176470588235</v>
      </c>
      <c r="AU73" s="26" t="n">
        <f aca="false">AK73*Share2026</f>
        <v>1.41176470588235</v>
      </c>
      <c r="AV73" s="26" t="n">
        <f aca="false">AK73*Share2027</f>
        <v>1.17647058823529</v>
      </c>
      <c r="AW73" s="31" t="n">
        <f aca="false">INT(AT73)</f>
        <v>1</v>
      </c>
      <c r="AX73" s="31" t="n">
        <f aca="false">INT(AU73)</f>
        <v>1</v>
      </c>
      <c r="AY73" s="31" t="n">
        <f aca="false">INT(AV73)</f>
        <v>1</v>
      </c>
      <c r="AZ73" s="26" t="n">
        <f aca="false">AT73-AW73</f>
        <v>0.411764705882353</v>
      </c>
      <c r="BA73" s="26" t="n">
        <f aca="false">AU73-AX73</f>
        <v>0.411764705882353</v>
      </c>
      <c r="BB73" s="26" t="n">
        <f aca="false">AV73-AY73</f>
        <v>0.176470588235294</v>
      </c>
      <c r="BC73" s="31" t="n">
        <f aca="false">AK73-AW73-AX73-AY73</f>
        <v>1</v>
      </c>
      <c r="BD73" s="27" t="n">
        <f aca="false">AW73+IF((BA73&gt;AZ73)+(BB73&gt;AZ73)&lt;BC73,1,0)</f>
        <v>2</v>
      </c>
      <c r="BE73" s="27" t="n">
        <f aca="false">AX73+IF((AZ73&gt;BA73)+(BB73&gt;BA73)+(AZ73=BA73)&lt;BC73,1,0)</f>
        <v>1</v>
      </c>
      <c r="BF73" s="27" t="n">
        <f aca="false">AY73+IF((AZ73&gt;BB73)+(BA73&gt;BB73)+(AZ73=BB73)+(BA73=BB73)&lt;BC73,1,0)</f>
        <v>1</v>
      </c>
    </row>
    <row r="74" customFormat="false" ht="15" hidden="false" customHeight="false" outlineLevel="0" collapsed="false">
      <c r="A74" s="22" t="str">
        <f aca="false">'District Data'!A74</f>
        <v>Multan</v>
      </c>
      <c r="B74" s="22" t="str">
        <f aca="false">'District Data'!C74</f>
        <v>Multan Region</v>
      </c>
      <c r="C74" s="22" t="str">
        <f aca="false">'District Data'!D74</f>
        <v>Stronghold</v>
      </c>
      <c r="D74" s="23" t="n">
        <f aca="false">ROUND('District Data'!E74*'District Data'!F74,0)</f>
        <v>2320340</v>
      </c>
      <c r="E74" s="23" t="n">
        <f aca="false">'District Data'!I74</f>
        <v>814</v>
      </c>
      <c r="F74" s="23" t="n">
        <f aca="false">'District Data'!L74</f>
        <v>728019.2</v>
      </c>
      <c r="G74" s="24" t="n">
        <f aca="false">IFERROR(F74/(E74*Weeks),0)</f>
        <v>17.1994707994708</v>
      </c>
      <c r="H74" s="25" t="n">
        <f aca="false">IFERROR('District Data'!N74/('District Data'!M74*Weeks),0)</f>
        <v>7.10313059033989</v>
      </c>
      <c r="I74" s="24" t="n">
        <f aca="false">IFERROR(SUMIFS('District Data'!$N$5:$N$119,'District Data'!$C$5:$C$119,B74)/(SUMIFS('District Data'!$M$5:$M$119,'District Data'!$C$5:$C$119,B74)*Weeks),0)</f>
        <v>8.16663285109386</v>
      </c>
      <c r="J74" s="24" t="n">
        <f aca="false">IF(TPBasis="NI TP",IF(H74&gt;0,H74,I74),G74)</f>
        <v>7.10313059033989</v>
      </c>
      <c r="K74" s="26" t="n">
        <f aca="false">IFERROR(F74/D74,0)</f>
        <v>0.313755397915823</v>
      </c>
      <c r="L74" s="27" t="n">
        <f aca="false">IFERROR(D74/E74,0)</f>
        <v>2850.54054054054</v>
      </c>
      <c r="M74" s="28" t="n">
        <f aca="false">IFERROR('District Data'!L74/'District Data'!K74-1,0)</f>
        <v>0.0202074217571993</v>
      </c>
      <c r="N74" s="28" t="n">
        <f aca="false">IFERROR(('District Data'!L74/'District Data'!J74)^(1/2)-1,0)</f>
        <v>0.0354896728585252</v>
      </c>
      <c r="O74" s="28" t="n">
        <f aca="false">IFERROR('District Data'!I74/'District Data'!H74-1,0)</f>
        <v>0.061277705345502</v>
      </c>
      <c r="P74" s="7" t="str">
        <f aca="false">IF(K74&gt;=PCC_L1,"Layer 01",IF(K74&gt;=PCC_L2,"Layer 02",IF(K74&gt;=PCC_L3,"Layer 03",IF(K74&gt;=PCC_L4,"Layer 04","Layer 05"))))</f>
        <v>Layer 04</v>
      </c>
      <c r="Q74" s="7" t="str">
        <f aca="false">IF(L74&gt;=PPO_L1,"Layer 01",IF(L74&gt;=PPO_L2,"Layer 02",IF(L74&gt;=PPO_L3,"Layer 03",IF(L74&gt;=PPO_L4,"Layer 04","Layer 05"))))</f>
        <v>Layer 04</v>
      </c>
      <c r="R74" s="29" t="n">
        <f aca="false">D74/IdealPPO-E74</f>
        <v>2279.78666666667</v>
      </c>
      <c r="S74" s="29" t="n">
        <f aca="false">IdealTP*Weeks-(Weeks*J74+FirstFill)</f>
        <v>330.637209302326</v>
      </c>
      <c r="T74" s="29" t="n">
        <f aca="false">IF(S74&gt;0,(F74-IdealTP*Weeks*E74)/S74,1000000000000)</f>
        <v>281.575084051936</v>
      </c>
      <c r="U74" s="27" t="n">
        <f aca="false">IF(E74&lt;=0,0,IF(G74&lt;=IdealTP,0,IF(L74&lt;=IdealPPO,0,INT(MIN(T74,R74)+0.000000001))))</f>
        <v>281</v>
      </c>
      <c r="V74" s="7" t="str">
        <f aca="false">IF(E74&lt;=0,"No current outlets",IF(G74&lt;=IdealTP,"TP already at or below ideal",IF(L74&lt;=IdealPPO,"PPO already at or below ideal",IF(T74&lt;=R74,"Stopped by TP reaching ideal","Stopped by PPO reaching ideal"))))</f>
        <v>Stopped by TP reaching ideal</v>
      </c>
      <c r="W74" s="30" t="n">
        <f aca="false">F74+U74*(Weeks*J74+FirstFill)</f>
        <v>854290.144186046</v>
      </c>
      <c r="X74" s="30" t="n">
        <f aca="false">E74+U74</f>
        <v>1095</v>
      </c>
      <c r="Y74" s="24" t="n">
        <f aca="false">IFERROR(W74/(X74*Weeks),0)</f>
        <v>15.0033393780479</v>
      </c>
      <c r="Z74" s="30" t="n">
        <f aca="false">IFERROR(D74/X74,0)</f>
        <v>2119.03196347032</v>
      </c>
      <c r="AA74" s="7" t="str">
        <f aca="false">IF(AND(K74&gt;=NationalPCC,L74&gt;IdealPPO),"Q1: High PCC, High PPO",IF(K74&gt;=NationalPCC,"Q2: High PCC, Low PPO",IF(L74&gt;IdealPPO,"Q3: Low PCC, High PPO","Q4: Low PCC, Low PPO")))</f>
        <v>Q3: Low PCC, High PPO</v>
      </c>
      <c r="AB74" s="7" t="str">
        <f aca="false">IF(K74&gt;=NationalPCC,IF(L74&gt;IdealPPO,"Phase 1","Phase 2"),"Phase 3")</f>
        <v>Phase 3</v>
      </c>
      <c r="AC74" s="7" t="str">
        <f aca="false">IF(AND(G74&gt;IdealTP,L74&gt;IdealPPO),"High TP, High PPO",IF(G74&gt;IdealTP,"High TP, Low PPO",IF(L74&gt;IdealPPO,"Low TP, High PPO","Low TP, Low PPO")))</f>
        <v>High TP, High PPO</v>
      </c>
      <c r="AD74" s="31" t="n">
        <f aca="false">INDEX(WaveNumbers,MATCH(C74,WaveNames,0))</f>
        <v>1</v>
      </c>
      <c r="AE74" s="32" t="n">
        <f aca="false">IF(U74&gt;0,AD74*10000000+VALUE(RIGHT(AB74,1))*1000000+(1000000-U74)+ROW()/1000000,"")</f>
        <v>13999719.000074</v>
      </c>
      <c r="AF74" s="31" t="n">
        <f aca="false">IF(U74&gt;0,COUNTIFS($AE$5:$AE$119,"&lt;"&amp;AE74)+1,"")</f>
        <v>11</v>
      </c>
      <c r="AG74" s="7" t="str">
        <f aca="false">IF(AF74="","No",IF(AF74&lt;=TopN,"Yes","No"))</f>
        <v>Yes</v>
      </c>
      <c r="AH74" s="30" t="n">
        <f aca="false">INT('District Data'!O74*ConvRate)</f>
        <v>308</v>
      </c>
      <c r="AI74" s="27" t="n">
        <f aca="false">MIN(U74,AH74)</f>
        <v>281</v>
      </c>
      <c r="AJ74" s="7" t="str">
        <f aca="false">IF(U74=0,"No expansion",IF(AH74&lt;U74,"Supply constrained (not enough shops)","Demand constrained (enough shops)"))</f>
        <v>Demand constrained (enough shops)</v>
      </c>
      <c r="AK74" s="30" t="n">
        <f aca="false">IF(AG74="Yes",AI74,0)</f>
        <v>281</v>
      </c>
      <c r="AL74" s="26" t="n">
        <f aca="false">IF(AG74="Yes",IF(Budget1&gt;=ShortlistFinal,AK74,AK74/ShortlistFinal*Budget1),0)</f>
        <v>166.149297856615</v>
      </c>
      <c r="AM74" s="30" t="n">
        <f aca="false">INT(AL74)</f>
        <v>166</v>
      </c>
      <c r="AN74" s="26" t="n">
        <f aca="false">IF(AND(AG74="Yes",Budget1&lt;ShortlistFinal),AL74-AM74,-1)</f>
        <v>0.149297856614908</v>
      </c>
      <c r="AO74" s="27" t="n">
        <f aca="false">IF(AG74&lt;&gt;"Yes",0,IF(Budget1&gt;=ShortlistFinal,AK74,AM74+IF(COUNTIFS($AN$5:$AN$119,"&gt;"&amp;AN74)+COUNTIFS($AN$5:$AN$119,AN74,$AF$5:$AF$119,"&lt;"&amp;AF74)&lt;Budget1-SUM($AM$5:$AM$119),1,0)))</f>
        <v>166</v>
      </c>
      <c r="AP74" s="26" t="n">
        <f aca="false">IF(AG74="Yes",IF(Budget2&gt;=ShortlistFinal,AK74,AK74/ShortlistFinal*Budget2),0)</f>
        <v>249.223946784922</v>
      </c>
      <c r="AQ74" s="30" t="n">
        <f aca="false">INT(AP74)</f>
        <v>249</v>
      </c>
      <c r="AR74" s="26" t="n">
        <f aca="false">IF(AND(AG74="Yes",Budget2&lt;ShortlistFinal),AP74-AQ74,-1)</f>
        <v>0.22394678492239</v>
      </c>
      <c r="AS74" s="27" t="n">
        <f aca="false">IF(AG74&lt;&gt;"Yes",0,IF(Budget2&gt;=ShortlistFinal,AK74,AQ74+IF(COUNTIFS($AR$5:$AR$119,"&gt;"&amp;AR74)+COUNTIFS($AR$5:$AR$119,AR74,$AF$5:$AF$119,"&lt;"&amp;AF74)&lt;Budget2-SUM($AQ$5:$AQ$119),1,0)))</f>
        <v>249</v>
      </c>
      <c r="AT74" s="26" t="n">
        <f aca="false">AK74*Share2025</f>
        <v>99.1764705882353</v>
      </c>
      <c r="AU74" s="26" t="n">
        <f aca="false">AK74*Share2026</f>
        <v>99.1764705882353</v>
      </c>
      <c r="AV74" s="26" t="n">
        <f aca="false">AK74*Share2027</f>
        <v>82.6470588235294</v>
      </c>
      <c r="AW74" s="31" t="n">
        <f aca="false">INT(AT74)</f>
        <v>99</v>
      </c>
      <c r="AX74" s="31" t="n">
        <f aca="false">INT(AU74)</f>
        <v>99</v>
      </c>
      <c r="AY74" s="31" t="n">
        <f aca="false">INT(AV74)</f>
        <v>82</v>
      </c>
      <c r="AZ74" s="26" t="n">
        <f aca="false">AT74-AW74</f>
        <v>0.176470588235318</v>
      </c>
      <c r="BA74" s="26" t="n">
        <f aca="false">AU74-AX74</f>
        <v>0.176470588235318</v>
      </c>
      <c r="BB74" s="26" t="n">
        <f aca="false">AV74-AY74</f>
        <v>0.647058823529406</v>
      </c>
      <c r="BC74" s="31" t="n">
        <f aca="false">AK74-AW74-AX74-AY74</f>
        <v>1</v>
      </c>
      <c r="BD74" s="27" t="n">
        <f aca="false">AW74+IF((BA74&gt;AZ74)+(BB74&gt;AZ74)&lt;BC74,1,0)</f>
        <v>99</v>
      </c>
      <c r="BE74" s="27" t="n">
        <f aca="false">AX74+IF((AZ74&gt;BA74)+(BB74&gt;BA74)+(AZ74=BA74)&lt;BC74,1,0)</f>
        <v>99</v>
      </c>
      <c r="BF74" s="27" t="n">
        <f aca="false">AY74+IF((AZ74&gt;BB74)+(BA74&gt;BB74)+(AZ74=BB74)+(BA74=BB74)&lt;BC74,1,0)</f>
        <v>83</v>
      </c>
    </row>
    <row r="75" customFormat="false" ht="15" hidden="false" customHeight="false" outlineLevel="0" collapsed="false">
      <c r="A75" s="22" t="str">
        <f aca="false">'District Data'!A75</f>
        <v>Musakhel</v>
      </c>
      <c r="B75" s="22" t="str">
        <f aca="false">'District Data'!C75</f>
        <v>Multan Region</v>
      </c>
      <c r="C75" s="22" t="str">
        <f aca="false">'District Data'!D75</f>
        <v>Rest</v>
      </c>
      <c r="D75" s="23" t="n">
        <f aca="false">ROUND('District Data'!E75*'District Data'!F75,0)</f>
        <v>22189</v>
      </c>
      <c r="E75" s="23" t="n">
        <f aca="false">'District Data'!I75</f>
        <v>3</v>
      </c>
      <c r="F75" s="23" t="n">
        <f aca="false">'District Data'!L75</f>
        <v>2610.4</v>
      </c>
      <c r="G75" s="24" t="n">
        <f aca="false">IFERROR(F75/(E75*Weeks),0)</f>
        <v>16.7333333333333</v>
      </c>
      <c r="H75" s="25" t="n">
        <f aca="false">IFERROR('District Data'!N75/('District Data'!M75*Weeks),0)</f>
        <v>0</v>
      </c>
      <c r="I75" s="24" t="n">
        <f aca="false">IFERROR(SUMIFS('District Data'!$N$5:$N$119,'District Data'!$C$5:$C$119,B75)/(SUMIFS('District Data'!$M$5:$M$119,'District Data'!$C$5:$C$119,B75)*Weeks),0)</f>
        <v>8.16663285109386</v>
      </c>
      <c r="J75" s="24" t="n">
        <f aca="false">IF(TPBasis="NI TP",IF(H75&gt;0,H75,I75),G75)</f>
        <v>8.16663285109386</v>
      </c>
      <c r="K75" s="26" t="n">
        <f aca="false">IFERROR(F75/D75,0)</f>
        <v>0.117643877597008</v>
      </c>
      <c r="L75" s="27" t="n">
        <f aca="false">IFERROR(D75/E75,0)</f>
        <v>7396.33333333333</v>
      </c>
      <c r="M75" s="28" t="n">
        <f aca="false">IFERROR('District Data'!L75/'District Data'!K75-1,0)</f>
        <v>0.394667948923439</v>
      </c>
      <c r="N75" s="28" t="n">
        <f aca="false">IFERROR(('District Data'!L75/'District Data'!J75)^(1/2)-1,0)</f>
        <v>0.392459612275724</v>
      </c>
      <c r="O75" s="28" t="n">
        <f aca="false">IFERROR('District Data'!I75/'District Data'!H75-1,0)</f>
        <v>0</v>
      </c>
      <c r="P75" s="7" t="str">
        <f aca="false">IF(K75&gt;=PCC_L1,"Layer 01",IF(K75&gt;=PCC_L2,"Layer 02",IF(K75&gt;=PCC_L3,"Layer 03",IF(K75&gt;=PCC_L4,"Layer 04","Layer 05"))))</f>
        <v>Layer 05</v>
      </c>
      <c r="Q75" s="7" t="str">
        <f aca="false">IF(L75&gt;=PPO_L1,"Layer 01",IF(L75&gt;=PPO_L2,"Layer 02",IF(L75&gt;=PPO_L3,"Layer 03",IF(L75&gt;=PPO_L4,"Layer 04","Layer 05"))))</f>
        <v>Layer 03</v>
      </c>
      <c r="R75" s="29" t="n">
        <f aca="false">D75/IdealPPO-E75</f>
        <v>26.5853333333333</v>
      </c>
      <c r="S75" s="29" t="n">
        <f aca="false">IdealTP*Weeks-(Weeks*J75+FirstFill)</f>
        <v>275.335091743119</v>
      </c>
      <c r="T75" s="29" t="n">
        <f aca="false">IF(S75&gt;0,(F75-IdealTP*Weeks*E75)/S75,1000000000000)</f>
        <v>0.982076052449851</v>
      </c>
      <c r="U75" s="27" t="n">
        <f aca="false">IF(E75&lt;=0,0,IF(G75&lt;=IdealTP,0,IF(L75&lt;=IdealPPO,0,INT(MIN(T75,R75)+0.000000001))))</f>
        <v>0</v>
      </c>
      <c r="V75" s="7" t="str">
        <f aca="false">IF(E75&lt;=0,"No current outlets",IF(G75&lt;=IdealTP,"TP already at or below ideal",IF(L75&lt;=IdealPPO,"PPO already at or below ideal",IF(T75&lt;=R75,"Stopped by TP reaching ideal","Stopped by PPO reaching ideal"))))</f>
        <v>Stopped by TP reaching ideal</v>
      </c>
      <c r="W75" s="30" t="n">
        <f aca="false">F75+U75*(Weeks*J75+FirstFill)</f>
        <v>2610.4</v>
      </c>
      <c r="X75" s="30" t="n">
        <f aca="false">E75+U75</f>
        <v>3</v>
      </c>
      <c r="Y75" s="24" t="n">
        <f aca="false">IFERROR(W75/(X75*Weeks),0)</f>
        <v>16.7333333333333</v>
      </c>
      <c r="Z75" s="30" t="n">
        <f aca="false">IFERROR(D75/X75,0)</f>
        <v>7396.33333333333</v>
      </c>
      <c r="AA75" s="7" t="str">
        <f aca="false">IF(AND(K75&gt;=NationalPCC,L75&gt;IdealPPO),"Q1: High PCC, High PPO",IF(K75&gt;=NationalPCC,"Q2: High PCC, Low PPO",IF(L75&gt;IdealPPO,"Q3: Low PCC, High PPO","Q4: Low PCC, Low PPO")))</f>
        <v>Q3: Low PCC, High PPO</v>
      </c>
      <c r="AB75" s="7" t="str">
        <f aca="false">IF(K75&gt;=NationalPCC,IF(L75&gt;IdealPPO,"Phase 1","Phase 2"),"Phase 3")</f>
        <v>Phase 3</v>
      </c>
      <c r="AC75" s="7" t="str">
        <f aca="false">IF(AND(G75&gt;IdealTP,L75&gt;IdealPPO),"High TP, High PPO",IF(G75&gt;IdealTP,"High TP, Low PPO",IF(L75&gt;IdealPPO,"Low TP, High PPO","Low TP, Low PPO")))</f>
        <v>High TP, High PPO</v>
      </c>
      <c r="AD75" s="31" t="n">
        <f aca="false">INDEX(WaveNumbers,MATCH(C75,WaveNames,0))</f>
        <v>4</v>
      </c>
      <c r="AE75" s="32" t="str">
        <f aca="false">IF(U75&gt;0,AD75*10000000+VALUE(RIGHT(AB75,1))*1000000+(1000000-U75)+ROW()/1000000,"")</f>
        <v/>
      </c>
      <c r="AF75" s="31" t="str">
        <f aca="false">IF(U75&gt;0,COUNTIFS($AE$5:$AE$119,"&lt;"&amp;AE75)+1,"")</f>
        <v/>
      </c>
      <c r="AG75" s="7" t="str">
        <f aca="false">IF(AF75="","No",IF(AF75&lt;=TopN,"Yes","No"))</f>
        <v>No</v>
      </c>
      <c r="AH75" s="30" t="n">
        <f aca="false">INT('District Data'!O75*ConvRate)</f>
        <v>0</v>
      </c>
      <c r="AI75" s="27" t="n">
        <f aca="false">MIN(U75,AH75)</f>
        <v>0</v>
      </c>
      <c r="AJ75" s="7" t="str">
        <f aca="false">IF(U75=0,"No expansion",IF(AH75&lt;U75,"Supply constrained (not enough shops)","Demand constrained (enough shops)"))</f>
        <v>No expansion</v>
      </c>
      <c r="AK75" s="30" t="n">
        <f aca="false">IF(AG75="Yes",AI75,0)</f>
        <v>0</v>
      </c>
      <c r="AL75" s="26" t="n">
        <f aca="false">IF(AG75="Yes",IF(Budget1&gt;=ShortlistFinal,AK75,AK75/ShortlistFinal*Budget1),0)</f>
        <v>0</v>
      </c>
      <c r="AM75" s="30" t="n">
        <f aca="false">INT(AL75)</f>
        <v>0</v>
      </c>
      <c r="AN75" s="26" t="n">
        <f aca="false">IF(AND(AG75="Yes",Budget1&lt;ShortlistFinal),AL75-AM75,-1)</f>
        <v>-1</v>
      </c>
      <c r="AO75" s="27" t="n">
        <f aca="false">IF(AG75&lt;&gt;"Yes",0,IF(Budget1&gt;=ShortlistFinal,AK75,AM75+IF(COUNTIFS($AN$5:$AN$119,"&gt;"&amp;AN75)+COUNTIFS($AN$5:$AN$119,AN75,$AF$5:$AF$119,"&lt;"&amp;AF75)&lt;Budget1-SUM($AM$5:$AM$119),1,0)))</f>
        <v>0</v>
      </c>
      <c r="AP75" s="26" t="n">
        <f aca="false">IF(AG75="Yes",IF(Budget2&gt;=ShortlistFinal,AK75,AK75/ShortlistFinal*Budget2),0)</f>
        <v>0</v>
      </c>
      <c r="AQ75" s="30" t="n">
        <f aca="false">INT(AP75)</f>
        <v>0</v>
      </c>
      <c r="AR75" s="26" t="n">
        <f aca="false">IF(AND(AG75="Yes",Budget2&lt;ShortlistFinal),AP75-AQ75,-1)</f>
        <v>-1</v>
      </c>
      <c r="AS75" s="27" t="n">
        <f aca="false">IF(AG75&lt;&gt;"Yes",0,IF(Budget2&gt;=ShortlistFinal,AK75,AQ75+IF(COUNTIFS($AR$5:$AR$119,"&gt;"&amp;AR75)+COUNTIFS($AR$5:$AR$119,AR75,$AF$5:$AF$119,"&lt;"&amp;AF75)&lt;Budget2-SUM($AQ$5:$AQ$119),1,0)))</f>
        <v>0</v>
      </c>
      <c r="AT75" s="26" t="n">
        <f aca="false">AK75*Share2025</f>
        <v>0</v>
      </c>
      <c r="AU75" s="26" t="n">
        <f aca="false">AK75*Share2026</f>
        <v>0</v>
      </c>
      <c r="AV75" s="26" t="n">
        <f aca="false">AK75*Share2027</f>
        <v>0</v>
      </c>
      <c r="AW75" s="31" t="n">
        <f aca="false">INT(AT75)</f>
        <v>0</v>
      </c>
      <c r="AX75" s="31" t="n">
        <f aca="false">INT(AU75)</f>
        <v>0</v>
      </c>
      <c r="AY75" s="31" t="n">
        <f aca="false">INT(AV75)</f>
        <v>0</v>
      </c>
      <c r="AZ75" s="26" t="n">
        <f aca="false">AT75-AW75</f>
        <v>0</v>
      </c>
      <c r="BA75" s="26" t="n">
        <f aca="false">AU75-AX75</f>
        <v>0</v>
      </c>
      <c r="BB75" s="26" t="n">
        <f aca="false">AV75-AY75</f>
        <v>0</v>
      </c>
      <c r="BC75" s="31" t="n">
        <f aca="false">AK75-AW75-AX75-AY75</f>
        <v>0</v>
      </c>
      <c r="BD75" s="27" t="n">
        <f aca="false">AW75+IF((BA75&gt;AZ75)+(BB75&gt;AZ75)&lt;BC75,1,0)</f>
        <v>0</v>
      </c>
      <c r="BE75" s="27" t="n">
        <f aca="false">AX75+IF((AZ75&gt;BA75)+(BB75&gt;BA75)+(AZ75=BA75)&lt;BC75,1,0)</f>
        <v>0</v>
      </c>
      <c r="BF75" s="27" t="n">
        <f aca="false">AY75+IF((AZ75&gt;BB75)+(BA75&gt;BB75)+(AZ75=BB75)+(BA75=BB75)&lt;BC75,1,0)</f>
        <v>0</v>
      </c>
    </row>
    <row r="76" customFormat="false" ht="15" hidden="false" customHeight="false" outlineLevel="0" collapsed="false">
      <c r="A76" s="22" t="str">
        <f aca="false">'District Data'!A76</f>
        <v>Muzaffargarh</v>
      </c>
      <c r="B76" s="22" t="str">
        <f aca="false">'District Data'!C76</f>
        <v>Multan Region</v>
      </c>
      <c r="C76" s="22" t="str">
        <f aca="false">'District Data'!D76</f>
        <v>Stronghold</v>
      </c>
      <c r="D76" s="23" t="n">
        <f aca="false">ROUND('District Data'!E76*'District Data'!F76,0)</f>
        <v>1187330</v>
      </c>
      <c r="E76" s="23" t="n">
        <f aca="false">'District Data'!I76</f>
        <v>185</v>
      </c>
      <c r="F76" s="23" t="n">
        <f aca="false">'District Data'!L76</f>
        <v>188688.6</v>
      </c>
      <c r="G76" s="24" t="n">
        <f aca="false">IFERROR(F76/(E76*Weeks),0)</f>
        <v>19.6141995841996</v>
      </c>
      <c r="H76" s="25" t="n">
        <f aca="false">IFERROR('District Data'!N76/('District Data'!M76*Weeks),0)</f>
        <v>6.75769230769231</v>
      </c>
      <c r="I76" s="24" t="n">
        <f aca="false">IFERROR(SUMIFS('District Data'!$N$5:$N$119,'District Data'!$C$5:$C$119,B76)/(SUMIFS('District Data'!$M$5:$M$119,'District Data'!$C$5:$C$119,B76)*Weeks),0)</f>
        <v>8.16663285109386</v>
      </c>
      <c r="J76" s="24" t="n">
        <f aca="false">IF(TPBasis="NI TP",IF(H76&gt;0,H76,I76),G76)</f>
        <v>6.75769230769231</v>
      </c>
      <c r="K76" s="26" t="n">
        <f aca="false">IFERROR(F76/D76,0)</f>
        <v>0.158918413583418</v>
      </c>
      <c r="L76" s="27" t="n">
        <f aca="false">IFERROR(D76/E76,0)</f>
        <v>6418</v>
      </c>
      <c r="M76" s="28" t="n">
        <f aca="false">IFERROR('District Data'!L76/'District Data'!K76-1,0)</f>
        <v>0.0145192006804733</v>
      </c>
      <c r="N76" s="28" t="n">
        <f aca="false">IFERROR(('District Data'!L76/'District Data'!J76)^(1/2)-1,0)</f>
        <v>-0.000213775827893503</v>
      </c>
      <c r="O76" s="28" t="n">
        <f aca="false">IFERROR('District Data'!I76/'District Data'!H76-1,0)</f>
        <v>0.0511363636363635</v>
      </c>
      <c r="P76" s="7" t="str">
        <f aca="false">IF(K76&gt;=PCC_L1,"Layer 01",IF(K76&gt;=PCC_L2,"Layer 02",IF(K76&gt;=PCC_L3,"Layer 03",IF(K76&gt;=PCC_L4,"Layer 04","Layer 05"))))</f>
        <v>Layer 05</v>
      </c>
      <c r="Q76" s="7" t="str">
        <f aca="false">IF(L76&gt;=PPO_L1,"Layer 01",IF(L76&gt;=PPO_L2,"Layer 02",IF(L76&gt;=PPO_L3,"Layer 03",IF(L76&gt;=PPO_L4,"Layer 04","Layer 05"))))</f>
        <v>Layer 03</v>
      </c>
      <c r="R76" s="29" t="n">
        <f aca="false">D76/IdealPPO-E76</f>
        <v>1398.10666666667</v>
      </c>
      <c r="S76" s="29" t="n">
        <f aca="false">IdealTP*Weeks-(Weeks*J76+FirstFill)</f>
        <v>348.6</v>
      </c>
      <c r="T76" s="29" t="n">
        <f aca="false">IF(S76&gt;0,(F76-IdealTP*Weeks*E76)/S76,1000000000000)</f>
        <v>127.333907056799</v>
      </c>
      <c r="U76" s="27" t="n">
        <f aca="false">IF(E76&lt;=0,0,IF(G76&lt;=IdealTP,0,IF(L76&lt;=IdealPPO,0,INT(MIN(T76,R76)+0.000000001))))</f>
        <v>127</v>
      </c>
      <c r="V76" s="7" t="str">
        <f aca="false">IF(E76&lt;=0,"No current outlets",IF(G76&lt;=IdealTP,"TP already at or below ideal",IF(L76&lt;=IdealPPO,"PPO already at or below ideal",IF(T76&lt;=R76,"Stopped by TP reaching ideal","Stopped by PPO reaching ideal"))))</f>
        <v>Stopped by TP reaching ideal</v>
      </c>
      <c r="W76" s="30" t="n">
        <f aca="false">F76+U76*(Weeks*J76+FirstFill)</f>
        <v>243476.4</v>
      </c>
      <c r="X76" s="30" t="n">
        <f aca="false">E76+U76</f>
        <v>312</v>
      </c>
      <c r="Y76" s="24" t="n">
        <f aca="false">IFERROR(W76/(X76*Weeks),0)</f>
        <v>15.007174556213</v>
      </c>
      <c r="Z76" s="30" t="n">
        <f aca="false">IFERROR(D76/X76,0)</f>
        <v>3805.54487179487</v>
      </c>
      <c r="AA76" s="7" t="str">
        <f aca="false">IF(AND(K76&gt;=NationalPCC,L76&gt;IdealPPO),"Q1: High PCC, High PPO",IF(K76&gt;=NationalPCC,"Q2: High PCC, Low PPO",IF(L76&gt;IdealPPO,"Q3: Low PCC, High PPO","Q4: Low PCC, Low PPO")))</f>
        <v>Q3: Low PCC, High PPO</v>
      </c>
      <c r="AB76" s="7" t="str">
        <f aca="false">IF(K76&gt;=NationalPCC,IF(L76&gt;IdealPPO,"Phase 1","Phase 2"),"Phase 3")</f>
        <v>Phase 3</v>
      </c>
      <c r="AC76" s="7" t="str">
        <f aca="false">IF(AND(G76&gt;IdealTP,L76&gt;IdealPPO),"High TP, High PPO",IF(G76&gt;IdealTP,"High TP, Low PPO",IF(L76&gt;IdealPPO,"Low TP, High PPO","Low TP, Low PPO")))</f>
        <v>High TP, High PPO</v>
      </c>
      <c r="AD76" s="31" t="n">
        <f aca="false">INDEX(WaveNumbers,MATCH(C76,WaveNames,0))</f>
        <v>1</v>
      </c>
      <c r="AE76" s="32" t="n">
        <f aca="false">IF(U76&gt;0,AD76*10000000+VALUE(RIGHT(AB76,1))*1000000+(1000000-U76)+ROW()/1000000,"")</f>
        <v>13999873.000076</v>
      </c>
      <c r="AF76" s="31" t="n">
        <f aca="false">IF(U76&gt;0,COUNTIFS($AE$5:$AE$119,"&lt;"&amp;AE76)+1,"")</f>
        <v>16</v>
      </c>
      <c r="AG76" s="7" t="str">
        <f aca="false">IF(AF76="","No",IF(AF76&lt;=TopN,"Yes","No"))</f>
        <v>Yes</v>
      </c>
      <c r="AH76" s="30" t="n">
        <f aca="false">INT('District Data'!O76*ConvRate)</f>
        <v>166</v>
      </c>
      <c r="AI76" s="27" t="n">
        <f aca="false">MIN(U76,AH76)</f>
        <v>127</v>
      </c>
      <c r="AJ76" s="7" t="str">
        <f aca="false">IF(U76=0,"No expansion",IF(AH76&lt;U76,"Supply constrained (not enough shops)","Demand constrained (enough shops)"))</f>
        <v>Demand constrained (enough shops)</v>
      </c>
      <c r="AK76" s="30" t="n">
        <f aca="false">IF(AG76="Yes",AI76,0)</f>
        <v>127</v>
      </c>
      <c r="AL76" s="26" t="n">
        <f aca="false">IF(AG76="Yes",IF(Budget1&gt;=ShortlistFinal,AK76,AK76/ShortlistFinal*Budget1),0)</f>
        <v>75.0923872875092</v>
      </c>
      <c r="AM76" s="30" t="n">
        <f aca="false">INT(AL76)</f>
        <v>75</v>
      </c>
      <c r="AN76" s="26" t="n">
        <f aca="false">IF(AND(AG76="Yes",Budget1&lt;ShortlistFinal),AL76-AM76,-1)</f>
        <v>0.09238728750924</v>
      </c>
      <c r="AO76" s="27" t="n">
        <f aca="false">IF(AG76&lt;&gt;"Yes",0,IF(Budget1&gt;=ShortlistFinal,AK76,AM76+IF(COUNTIFS($AN$5:$AN$119,"&gt;"&amp;AN76)+COUNTIFS($AN$5:$AN$119,AN76,$AF$5:$AF$119,"&lt;"&amp;AF76)&lt;Budget1-SUM($AM$5:$AM$119),1,0)))</f>
        <v>75</v>
      </c>
      <c r="AP76" s="26" t="n">
        <f aca="false">IF(AG76="Yes",IF(Budget2&gt;=ShortlistFinal,AK76,AK76/ShortlistFinal*Budget2),0)</f>
        <v>112.638580931264</v>
      </c>
      <c r="AQ76" s="30" t="n">
        <f aca="false">INT(AP76)</f>
        <v>112</v>
      </c>
      <c r="AR76" s="26" t="n">
        <f aca="false">IF(AND(AG76="Yes",Budget2&lt;ShortlistFinal),AP76-AQ76,-1)</f>
        <v>0.638580931263846</v>
      </c>
      <c r="AS76" s="27" t="n">
        <f aca="false">IF(AG76&lt;&gt;"Yes",0,IF(Budget2&gt;=ShortlistFinal,AK76,AQ76+IF(COUNTIFS($AR$5:$AR$119,"&gt;"&amp;AR76)+COUNTIFS($AR$5:$AR$119,AR76,$AF$5:$AF$119,"&lt;"&amp;AF76)&lt;Budget2-SUM($AQ$5:$AQ$119),1,0)))</f>
        <v>113</v>
      </c>
      <c r="AT76" s="26" t="n">
        <f aca="false">AK76*Share2025</f>
        <v>44.8235294117647</v>
      </c>
      <c r="AU76" s="26" t="n">
        <f aca="false">AK76*Share2026</f>
        <v>44.8235294117647</v>
      </c>
      <c r="AV76" s="26" t="n">
        <f aca="false">AK76*Share2027</f>
        <v>37.3529411764706</v>
      </c>
      <c r="AW76" s="31" t="n">
        <f aca="false">INT(AT76)</f>
        <v>44</v>
      </c>
      <c r="AX76" s="31" t="n">
        <f aca="false">INT(AU76)</f>
        <v>44</v>
      </c>
      <c r="AY76" s="31" t="n">
        <f aca="false">INT(AV76)</f>
        <v>37</v>
      </c>
      <c r="AZ76" s="26" t="n">
        <f aca="false">AT76-AW76</f>
        <v>0.823529411764717</v>
      </c>
      <c r="BA76" s="26" t="n">
        <f aca="false">AU76-AX76</f>
        <v>0.823529411764717</v>
      </c>
      <c r="BB76" s="26" t="n">
        <f aca="false">AV76-AY76</f>
        <v>0.35294117647058</v>
      </c>
      <c r="BC76" s="31" t="n">
        <f aca="false">AK76-AW76-AX76-AY76</f>
        <v>2</v>
      </c>
      <c r="BD76" s="27" t="n">
        <f aca="false">AW76+IF((BA76&gt;AZ76)+(BB76&gt;AZ76)&lt;BC76,1,0)</f>
        <v>45</v>
      </c>
      <c r="BE76" s="27" t="n">
        <f aca="false">AX76+IF((AZ76&gt;BA76)+(BB76&gt;BA76)+(AZ76=BA76)&lt;BC76,1,0)</f>
        <v>45</v>
      </c>
      <c r="BF76" s="27" t="n">
        <f aca="false">AY76+IF((AZ76&gt;BB76)+(BA76&gt;BB76)+(AZ76=BB76)+(BA76=BB76)&lt;BC76,1,0)</f>
        <v>37</v>
      </c>
    </row>
    <row r="77" customFormat="false" ht="15" hidden="false" customHeight="false" outlineLevel="0" collapsed="false">
      <c r="A77" s="22" t="str">
        <f aca="false">'District Data'!A77</f>
        <v>Narowal</v>
      </c>
      <c r="B77" s="22" t="str">
        <f aca="false">'District Data'!C77</f>
        <v>Lahore Region</v>
      </c>
      <c r="C77" s="22" t="str">
        <f aca="false">'District Data'!D77</f>
        <v>Stronghold</v>
      </c>
      <c r="D77" s="23" t="n">
        <f aca="false">ROUND('District Data'!E77*'District Data'!F77,0)</f>
        <v>335122</v>
      </c>
      <c r="E77" s="23" t="n">
        <f aca="false">'District Data'!I77</f>
        <v>55</v>
      </c>
      <c r="F77" s="23" t="n">
        <f aca="false">'District Data'!L77</f>
        <v>33658</v>
      </c>
      <c r="G77" s="24" t="n">
        <f aca="false">IFERROR(F77/(E77*Weeks),0)</f>
        <v>11.7685314685315</v>
      </c>
      <c r="H77" s="25" t="n">
        <f aca="false">IFERROR('District Data'!N77/('District Data'!M77*Weeks),0)</f>
        <v>7.54846153846154</v>
      </c>
      <c r="I77" s="24" t="n">
        <f aca="false">IFERROR(SUMIFS('District Data'!$N$5:$N$119,'District Data'!$C$5:$C$119,B77)/(SUMIFS('District Data'!$M$5:$M$119,'District Data'!$C$5:$C$119,B77)*Weeks),0)</f>
        <v>11.5536217630433</v>
      </c>
      <c r="J77" s="24" t="n">
        <f aca="false">IF(TPBasis="NI TP",IF(H77&gt;0,H77,I77),G77)</f>
        <v>7.54846153846154</v>
      </c>
      <c r="K77" s="26" t="n">
        <f aca="false">IFERROR(F77/D77,0)</f>
        <v>0.100435065438855</v>
      </c>
      <c r="L77" s="27" t="n">
        <f aca="false">IFERROR(D77/E77,0)</f>
        <v>6093.12727272727</v>
      </c>
      <c r="M77" s="28" t="n">
        <f aca="false">IFERROR('District Data'!L77/'District Data'!K77-1,0)</f>
        <v>-0.00917582433757136</v>
      </c>
      <c r="N77" s="28" t="n">
        <f aca="false">IFERROR(('District Data'!L77/'District Data'!J77)^(1/2)-1,0)</f>
        <v>0.0483546636866161</v>
      </c>
      <c r="O77" s="28" t="n">
        <f aca="false">IFERROR('District Data'!I77/'District Data'!H77-1,0)</f>
        <v>0.0576923076923077</v>
      </c>
      <c r="P77" s="7" t="str">
        <f aca="false">IF(K77&gt;=PCC_L1,"Layer 01",IF(K77&gt;=PCC_L2,"Layer 02",IF(K77&gt;=PCC_L3,"Layer 03",IF(K77&gt;=PCC_L4,"Layer 04","Layer 05"))))</f>
        <v>Layer 05</v>
      </c>
      <c r="Q77" s="7" t="str">
        <f aca="false">IF(L77&gt;=PPO_L1,"Layer 01",IF(L77&gt;=PPO_L2,"Layer 02",IF(L77&gt;=PPO_L3,"Layer 03",IF(L77&gt;=PPO_L4,"Layer 04","Layer 05"))))</f>
        <v>Layer 03</v>
      </c>
      <c r="R77" s="29" t="n">
        <f aca="false">D77/IdealPPO-E77</f>
        <v>391.829333333333</v>
      </c>
      <c r="S77" s="29" t="n">
        <f aca="false">IdealTP*Weeks-(Weeks*J77+FirstFill)</f>
        <v>307.48</v>
      </c>
      <c r="T77" s="29" t="n">
        <f aca="false">IF(S77&gt;0,(F77-IdealTP*Weeks*E77)/S77,1000000000000)</f>
        <v>-30.0572394952517</v>
      </c>
      <c r="U77" s="27" t="n">
        <f aca="false">IF(E77&lt;=0,0,IF(G77&lt;=IdealTP,0,IF(L77&lt;=IdealPPO,0,INT(MIN(T77,R77)+0.000000001))))</f>
        <v>0</v>
      </c>
      <c r="V77" s="7" t="str">
        <f aca="false">IF(E77&lt;=0,"No current outlets",IF(G77&lt;=IdealTP,"TP already at or below ideal",IF(L77&lt;=IdealPPO,"PPO already at or below ideal",IF(T77&lt;=R77,"Stopped by TP reaching ideal","Stopped by PPO reaching ideal"))))</f>
        <v>TP already at or below ideal</v>
      </c>
      <c r="W77" s="30" t="n">
        <f aca="false">F77+U77*(Weeks*J77+FirstFill)</f>
        <v>33658</v>
      </c>
      <c r="X77" s="30" t="n">
        <f aca="false">E77+U77</f>
        <v>55</v>
      </c>
      <c r="Y77" s="24" t="n">
        <f aca="false">IFERROR(W77/(X77*Weeks),0)</f>
        <v>11.7685314685315</v>
      </c>
      <c r="Z77" s="30" t="n">
        <f aca="false">IFERROR(D77/X77,0)</f>
        <v>6093.12727272727</v>
      </c>
      <c r="AA77" s="7" t="str">
        <f aca="false">IF(AND(K77&gt;=NationalPCC,L77&gt;IdealPPO),"Q1: High PCC, High PPO",IF(K77&gt;=NationalPCC,"Q2: High PCC, Low PPO",IF(L77&gt;IdealPPO,"Q3: Low PCC, High PPO","Q4: Low PCC, Low PPO")))</f>
        <v>Q3: Low PCC, High PPO</v>
      </c>
      <c r="AB77" s="7" t="str">
        <f aca="false">IF(K77&gt;=NationalPCC,IF(L77&gt;IdealPPO,"Phase 1","Phase 2"),"Phase 3")</f>
        <v>Phase 3</v>
      </c>
      <c r="AC77" s="7" t="str">
        <f aca="false">IF(AND(G77&gt;IdealTP,L77&gt;IdealPPO),"High TP, High PPO",IF(G77&gt;IdealTP,"High TP, Low PPO",IF(L77&gt;IdealPPO,"Low TP, High PPO","Low TP, Low PPO")))</f>
        <v>Low TP, High PPO</v>
      </c>
      <c r="AD77" s="31" t="n">
        <f aca="false">INDEX(WaveNumbers,MATCH(C77,WaveNames,0))</f>
        <v>1</v>
      </c>
      <c r="AE77" s="32" t="str">
        <f aca="false">IF(U77&gt;0,AD77*10000000+VALUE(RIGHT(AB77,1))*1000000+(1000000-U77)+ROW()/1000000,"")</f>
        <v/>
      </c>
      <c r="AF77" s="31" t="str">
        <f aca="false">IF(U77&gt;0,COUNTIFS($AE$5:$AE$119,"&lt;"&amp;AE77)+1,"")</f>
        <v/>
      </c>
      <c r="AG77" s="7" t="str">
        <f aca="false">IF(AF77="","No",IF(AF77&lt;=TopN,"Yes","No"))</f>
        <v>No</v>
      </c>
      <c r="AH77" s="30" t="n">
        <f aca="false">INT('District Data'!O77*ConvRate)</f>
        <v>41</v>
      </c>
      <c r="AI77" s="27" t="n">
        <f aca="false">MIN(U77,AH77)</f>
        <v>0</v>
      </c>
      <c r="AJ77" s="7" t="str">
        <f aca="false">IF(U77=0,"No expansion",IF(AH77&lt;U77,"Supply constrained (not enough shops)","Demand constrained (enough shops)"))</f>
        <v>No expansion</v>
      </c>
      <c r="AK77" s="30" t="n">
        <f aca="false">IF(AG77="Yes",AI77,0)</f>
        <v>0</v>
      </c>
      <c r="AL77" s="26" t="n">
        <f aca="false">IF(AG77="Yes",IF(Budget1&gt;=ShortlistFinal,AK77,AK77/ShortlistFinal*Budget1),0)</f>
        <v>0</v>
      </c>
      <c r="AM77" s="30" t="n">
        <f aca="false">INT(AL77)</f>
        <v>0</v>
      </c>
      <c r="AN77" s="26" t="n">
        <f aca="false">IF(AND(AG77="Yes",Budget1&lt;ShortlistFinal),AL77-AM77,-1)</f>
        <v>-1</v>
      </c>
      <c r="AO77" s="27" t="n">
        <f aca="false">IF(AG77&lt;&gt;"Yes",0,IF(Budget1&gt;=ShortlistFinal,AK77,AM77+IF(COUNTIFS($AN$5:$AN$119,"&gt;"&amp;AN77)+COUNTIFS($AN$5:$AN$119,AN77,$AF$5:$AF$119,"&lt;"&amp;AF77)&lt;Budget1-SUM($AM$5:$AM$119),1,0)))</f>
        <v>0</v>
      </c>
      <c r="AP77" s="26" t="n">
        <f aca="false">IF(AG77="Yes",IF(Budget2&gt;=ShortlistFinal,AK77,AK77/ShortlistFinal*Budget2),0)</f>
        <v>0</v>
      </c>
      <c r="AQ77" s="30" t="n">
        <f aca="false">INT(AP77)</f>
        <v>0</v>
      </c>
      <c r="AR77" s="26" t="n">
        <f aca="false">IF(AND(AG77="Yes",Budget2&lt;ShortlistFinal),AP77-AQ77,-1)</f>
        <v>-1</v>
      </c>
      <c r="AS77" s="27" t="n">
        <f aca="false">IF(AG77&lt;&gt;"Yes",0,IF(Budget2&gt;=ShortlistFinal,AK77,AQ77+IF(COUNTIFS($AR$5:$AR$119,"&gt;"&amp;AR77)+COUNTIFS($AR$5:$AR$119,AR77,$AF$5:$AF$119,"&lt;"&amp;AF77)&lt;Budget2-SUM($AQ$5:$AQ$119),1,0)))</f>
        <v>0</v>
      </c>
      <c r="AT77" s="26" t="n">
        <f aca="false">AK77*Share2025</f>
        <v>0</v>
      </c>
      <c r="AU77" s="26" t="n">
        <f aca="false">AK77*Share2026</f>
        <v>0</v>
      </c>
      <c r="AV77" s="26" t="n">
        <f aca="false">AK77*Share2027</f>
        <v>0</v>
      </c>
      <c r="AW77" s="31" t="n">
        <f aca="false">INT(AT77)</f>
        <v>0</v>
      </c>
      <c r="AX77" s="31" t="n">
        <f aca="false">INT(AU77)</f>
        <v>0</v>
      </c>
      <c r="AY77" s="31" t="n">
        <f aca="false">INT(AV77)</f>
        <v>0</v>
      </c>
      <c r="AZ77" s="26" t="n">
        <f aca="false">AT77-AW77</f>
        <v>0</v>
      </c>
      <c r="BA77" s="26" t="n">
        <f aca="false">AU77-AX77</f>
        <v>0</v>
      </c>
      <c r="BB77" s="26" t="n">
        <f aca="false">AV77-AY77</f>
        <v>0</v>
      </c>
      <c r="BC77" s="31" t="n">
        <f aca="false">AK77-AW77-AX77-AY77</f>
        <v>0</v>
      </c>
      <c r="BD77" s="27" t="n">
        <f aca="false">AW77+IF((BA77&gt;AZ77)+(BB77&gt;AZ77)&lt;BC77,1,0)</f>
        <v>0</v>
      </c>
      <c r="BE77" s="27" t="n">
        <f aca="false">AX77+IF((AZ77&gt;BA77)+(BB77&gt;BA77)+(AZ77=BA77)&lt;BC77,1,0)</f>
        <v>0</v>
      </c>
      <c r="BF77" s="27" t="n">
        <f aca="false">AY77+IF((AZ77&gt;BB77)+(BA77&gt;BB77)+(AZ77=BB77)+(BA77=BB77)&lt;BC77,1,0)</f>
        <v>0</v>
      </c>
    </row>
    <row r="78" customFormat="false" ht="15" hidden="false" customHeight="false" outlineLevel="0" collapsed="false">
      <c r="A78" s="22" t="str">
        <f aca="false">'District Data'!A78</f>
        <v>Nasirabad</v>
      </c>
      <c r="B78" s="22" t="str">
        <f aca="false">'District Data'!C78</f>
        <v>Multan Region</v>
      </c>
      <c r="C78" s="22" t="str">
        <f aca="false">'District Data'!D78</f>
        <v>Rest</v>
      </c>
      <c r="D78" s="23" t="n">
        <f aca="false">ROUND('District Data'!E78*'District Data'!F78,0)</f>
        <v>129736</v>
      </c>
      <c r="E78" s="23" t="n">
        <f aca="false">'District Data'!I78</f>
        <v>10</v>
      </c>
      <c r="F78" s="23" t="n">
        <f aca="false">'District Data'!L78</f>
        <v>5595.2</v>
      </c>
      <c r="G78" s="24" t="n">
        <f aca="false">IFERROR(F78/(E78*Weeks),0)</f>
        <v>10.76</v>
      </c>
      <c r="H78" s="25" t="n">
        <f aca="false">IFERROR('District Data'!N78/('District Data'!M78*Weeks),0)</f>
        <v>7.02692307692308</v>
      </c>
      <c r="I78" s="24" t="n">
        <f aca="false">IFERROR(SUMIFS('District Data'!$N$5:$N$119,'District Data'!$C$5:$C$119,B78)/(SUMIFS('District Data'!$M$5:$M$119,'District Data'!$C$5:$C$119,B78)*Weeks),0)</f>
        <v>8.16663285109386</v>
      </c>
      <c r="J78" s="24" t="n">
        <f aca="false">IF(TPBasis="NI TP",IF(H78&gt;0,H78,I78),G78)</f>
        <v>7.02692307692308</v>
      </c>
      <c r="K78" s="26" t="n">
        <f aca="false">IFERROR(F78/D78,0)</f>
        <v>0.0431275821668619</v>
      </c>
      <c r="L78" s="27" t="n">
        <f aca="false">IFERROR(D78/E78,0)</f>
        <v>12973.6</v>
      </c>
      <c r="M78" s="28" t="n">
        <f aca="false">IFERROR('District Data'!L78/'District Data'!K78-1,0)</f>
        <v>0.0236183018971479</v>
      </c>
      <c r="N78" s="28" t="n">
        <f aca="false">IFERROR(('District Data'!L78/'District Data'!J78)^(1/2)-1,0)</f>
        <v>0.126695916463253</v>
      </c>
      <c r="O78" s="28" t="n">
        <f aca="false">IFERROR('District Data'!I78/'District Data'!H78-1,0)</f>
        <v>0</v>
      </c>
      <c r="P78" s="7" t="str">
        <f aca="false">IF(K78&gt;=PCC_L1,"Layer 01",IF(K78&gt;=PCC_L2,"Layer 02",IF(K78&gt;=PCC_L3,"Layer 03",IF(K78&gt;=PCC_L4,"Layer 04","Layer 05"))))</f>
        <v>Layer 05</v>
      </c>
      <c r="Q78" s="7" t="str">
        <f aca="false">IF(L78&gt;=PPO_L1,"Layer 01",IF(L78&gt;=PPO_L2,"Layer 02",IF(L78&gt;=PPO_L3,"Layer 03",IF(L78&gt;=PPO_L4,"Layer 04","Layer 05"))))</f>
        <v>Layer 03</v>
      </c>
      <c r="R78" s="29" t="n">
        <f aca="false">D78/IdealPPO-E78</f>
        <v>162.981333333333</v>
      </c>
      <c r="S78" s="29" t="n">
        <f aca="false">IdealTP*Weeks-(Weeks*J78+FirstFill)</f>
        <v>334.6</v>
      </c>
      <c r="T78" s="29" t="n">
        <f aca="false">IF(S78&gt;0,(F78-IdealTP*Weeks*E78)/S78,1000000000000)</f>
        <v>-6.58936043036461</v>
      </c>
      <c r="U78" s="27" t="n">
        <f aca="false">IF(E78&lt;=0,0,IF(G78&lt;=IdealTP,0,IF(L78&lt;=IdealPPO,0,INT(MIN(T78,R78)+0.000000001))))</f>
        <v>0</v>
      </c>
      <c r="V78" s="7" t="str">
        <f aca="false">IF(E78&lt;=0,"No current outlets",IF(G78&lt;=IdealTP,"TP already at or below ideal",IF(L78&lt;=IdealPPO,"PPO already at or below ideal",IF(T78&lt;=R78,"Stopped by TP reaching ideal","Stopped by PPO reaching ideal"))))</f>
        <v>TP already at or below ideal</v>
      </c>
      <c r="W78" s="30" t="n">
        <f aca="false">F78+U78*(Weeks*J78+FirstFill)</f>
        <v>5595.2</v>
      </c>
      <c r="X78" s="30" t="n">
        <f aca="false">E78+U78</f>
        <v>10</v>
      </c>
      <c r="Y78" s="24" t="n">
        <f aca="false">IFERROR(W78/(X78*Weeks),0)</f>
        <v>10.76</v>
      </c>
      <c r="Z78" s="30" t="n">
        <f aca="false">IFERROR(D78/X78,0)</f>
        <v>12973.6</v>
      </c>
      <c r="AA78" s="7" t="str">
        <f aca="false">IF(AND(K78&gt;=NationalPCC,L78&gt;IdealPPO),"Q1: High PCC, High PPO",IF(K78&gt;=NationalPCC,"Q2: High PCC, Low PPO",IF(L78&gt;IdealPPO,"Q3: Low PCC, High PPO","Q4: Low PCC, Low PPO")))</f>
        <v>Q3: Low PCC, High PPO</v>
      </c>
      <c r="AB78" s="7" t="str">
        <f aca="false">IF(K78&gt;=NationalPCC,IF(L78&gt;IdealPPO,"Phase 1","Phase 2"),"Phase 3")</f>
        <v>Phase 3</v>
      </c>
      <c r="AC78" s="7" t="str">
        <f aca="false">IF(AND(G78&gt;IdealTP,L78&gt;IdealPPO),"High TP, High PPO",IF(G78&gt;IdealTP,"High TP, Low PPO",IF(L78&gt;IdealPPO,"Low TP, High PPO","Low TP, Low PPO")))</f>
        <v>Low TP, High PPO</v>
      </c>
      <c r="AD78" s="31" t="n">
        <f aca="false">INDEX(WaveNumbers,MATCH(C78,WaveNames,0))</f>
        <v>4</v>
      </c>
      <c r="AE78" s="32" t="str">
        <f aca="false">IF(U78&gt;0,AD78*10000000+VALUE(RIGHT(AB78,1))*1000000+(1000000-U78)+ROW()/1000000,"")</f>
        <v/>
      </c>
      <c r="AF78" s="31" t="str">
        <f aca="false">IF(U78&gt;0,COUNTIFS($AE$5:$AE$119,"&lt;"&amp;AE78)+1,"")</f>
        <v/>
      </c>
      <c r="AG78" s="7" t="str">
        <f aca="false">IF(AF78="","No",IF(AF78&lt;=TopN,"Yes","No"))</f>
        <v>No</v>
      </c>
      <c r="AH78" s="30" t="n">
        <f aca="false">INT('District Data'!O78*ConvRate)</f>
        <v>13</v>
      </c>
      <c r="AI78" s="27" t="n">
        <f aca="false">MIN(U78,AH78)</f>
        <v>0</v>
      </c>
      <c r="AJ78" s="7" t="str">
        <f aca="false">IF(U78=0,"No expansion",IF(AH78&lt;U78,"Supply constrained (not enough shops)","Demand constrained (enough shops)"))</f>
        <v>No expansion</v>
      </c>
      <c r="AK78" s="30" t="n">
        <f aca="false">IF(AG78="Yes",AI78,0)</f>
        <v>0</v>
      </c>
      <c r="AL78" s="26" t="n">
        <f aca="false">IF(AG78="Yes",IF(Budget1&gt;=ShortlistFinal,AK78,AK78/ShortlistFinal*Budget1),0)</f>
        <v>0</v>
      </c>
      <c r="AM78" s="30" t="n">
        <f aca="false">INT(AL78)</f>
        <v>0</v>
      </c>
      <c r="AN78" s="26" t="n">
        <f aca="false">IF(AND(AG78="Yes",Budget1&lt;ShortlistFinal),AL78-AM78,-1)</f>
        <v>-1</v>
      </c>
      <c r="AO78" s="27" t="n">
        <f aca="false">IF(AG78&lt;&gt;"Yes",0,IF(Budget1&gt;=ShortlistFinal,AK78,AM78+IF(COUNTIFS($AN$5:$AN$119,"&gt;"&amp;AN78)+COUNTIFS($AN$5:$AN$119,AN78,$AF$5:$AF$119,"&lt;"&amp;AF78)&lt;Budget1-SUM($AM$5:$AM$119),1,0)))</f>
        <v>0</v>
      </c>
      <c r="AP78" s="26" t="n">
        <f aca="false">IF(AG78="Yes",IF(Budget2&gt;=ShortlistFinal,AK78,AK78/ShortlistFinal*Budget2),0)</f>
        <v>0</v>
      </c>
      <c r="AQ78" s="30" t="n">
        <f aca="false">INT(AP78)</f>
        <v>0</v>
      </c>
      <c r="AR78" s="26" t="n">
        <f aca="false">IF(AND(AG78="Yes",Budget2&lt;ShortlistFinal),AP78-AQ78,-1)</f>
        <v>-1</v>
      </c>
      <c r="AS78" s="27" t="n">
        <f aca="false">IF(AG78&lt;&gt;"Yes",0,IF(Budget2&gt;=ShortlistFinal,AK78,AQ78+IF(COUNTIFS($AR$5:$AR$119,"&gt;"&amp;AR78)+COUNTIFS($AR$5:$AR$119,AR78,$AF$5:$AF$119,"&lt;"&amp;AF78)&lt;Budget2-SUM($AQ$5:$AQ$119),1,0)))</f>
        <v>0</v>
      </c>
      <c r="AT78" s="26" t="n">
        <f aca="false">AK78*Share2025</f>
        <v>0</v>
      </c>
      <c r="AU78" s="26" t="n">
        <f aca="false">AK78*Share2026</f>
        <v>0</v>
      </c>
      <c r="AV78" s="26" t="n">
        <f aca="false">AK78*Share2027</f>
        <v>0</v>
      </c>
      <c r="AW78" s="31" t="n">
        <f aca="false">INT(AT78)</f>
        <v>0</v>
      </c>
      <c r="AX78" s="31" t="n">
        <f aca="false">INT(AU78)</f>
        <v>0</v>
      </c>
      <c r="AY78" s="31" t="n">
        <f aca="false">INT(AV78)</f>
        <v>0</v>
      </c>
      <c r="AZ78" s="26" t="n">
        <f aca="false">AT78-AW78</f>
        <v>0</v>
      </c>
      <c r="BA78" s="26" t="n">
        <f aca="false">AU78-AX78</f>
        <v>0</v>
      </c>
      <c r="BB78" s="26" t="n">
        <f aca="false">AV78-AY78</f>
        <v>0</v>
      </c>
      <c r="BC78" s="31" t="n">
        <f aca="false">AK78-AW78-AX78-AY78</f>
        <v>0</v>
      </c>
      <c r="BD78" s="27" t="n">
        <f aca="false">AW78+IF((BA78&gt;AZ78)+(BB78&gt;AZ78)&lt;BC78,1,0)</f>
        <v>0</v>
      </c>
      <c r="BE78" s="27" t="n">
        <f aca="false">AX78+IF((AZ78&gt;BA78)+(BB78&gt;BA78)+(AZ78=BA78)&lt;BC78,1,0)</f>
        <v>0</v>
      </c>
      <c r="BF78" s="27" t="n">
        <f aca="false">AY78+IF((AZ78&gt;BB78)+(BA78&gt;BB78)+(AZ78=BB78)+(BA78=BB78)&lt;BC78,1,0)</f>
        <v>0</v>
      </c>
    </row>
    <row r="79" customFormat="false" ht="15" hidden="false" customHeight="false" outlineLevel="0" collapsed="false">
      <c r="A79" s="22" t="str">
        <f aca="false">'District Data'!A79</f>
        <v>Naushehro Feroze</v>
      </c>
      <c r="B79" s="22" t="str">
        <f aca="false">'District Data'!C79</f>
        <v>Karachi Region</v>
      </c>
      <c r="C79" s="22" t="str">
        <f aca="false">'District Data'!D79</f>
        <v>Neighbouring</v>
      </c>
      <c r="D79" s="23" t="n">
        <f aca="false">ROUND('District Data'!E79*'District Data'!F79,0)</f>
        <v>581594</v>
      </c>
      <c r="E79" s="23" t="n">
        <f aca="false">'District Data'!I79</f>
        <v>116</v>
      </c>
      <c r="F79" s="23" t="n">
        <f aca="false">'District Data'!L79</f>
        <v>76534.4</v>
      </c>
      <c r="G79" s="24" t="n">
        <f aca="false">IFERROR(F79/(E79*Weeks),0)</f>
        <v>12.6880636604775</v>
      </c>
      <c r="H79" s="25" t="n">
        <f aca="false">IFERROR('District Data'!N79/('District Data'!M79*Weeks),0)</f>
        <v>10.3668269230769</v>
      </c>
      <c r="I79" s="24" t="n">
        <f aca="false">IFERROR(SUMIFS('District Data'!$N$5:$N$119,'District Data'!$C$5:$C$119,B79)/(SUMIFS('District Data'!$M$5:$M$119,'District Data'!$C$5:$C$119,B79)*Weeks),0)</f>
        <v>12.952446872194</v>
      </c>
      <c r="J79" s="24" t="n">
        <f aca="false">IF(TPBasis="NI TP",IF(H79&gt;0,H79,I79),G79)</f>
        <v>10.3668269230769</v>
      </c>
      <c r="K79" s="26" t="n">
        <f aca="false">IFERROR(F79/D79,0)</f>
        <v>0.131594204892072</v>
      </c>
      <c r="L79" s="27" t="n">
        <f aca="false">IFERROR(D79/E79,0)</f>
        <v>5013.74137931035</v>
      </c>
      <c r="M79" s="28" t="n">
        <f aca="false">IFERROR('District Data'!L79/'District Data'!K79-1,0)</f>
        <v>0.0654505108383485</v>
      </c>
      <c r="N79" s="28" t="n">
        <f aca="false">IFERROR(('District Data'!L79/'District Data'!J79)^(1/2)-1,0)</f>
        <v>0.0657707684871542</v>
      </c>
      <c r="O79" s="28" t="n">
        <f aca="false">IFERROR('District Data'!I79/'District Data'!H79-1,0)</f>
        <v>0.0841121495327102</v>
      </c>
      <c r="P79" s="7" t="str">
        <f aca="false">IF(K79&gt;=PCC_L1,"Layer 01",IF(K79&gt;=PCC_L2,"Layer 02",IF(K79&gt;=PCC_L3,"Layer 03",IF(K79&gt;=PCC_L4,"Layer 04","Layer 05"))))</f>
        <v>Layer 05</v>
      </c>
      <c r="Q79" s="7" t="str">
        <f aca="false">IF(L79&gt;=PPO_L1,"Layer 01",IF(L79&gt;=PPO_L2,"Layer 02",IF(L79&gt;=PPO_L3,"Layer 03",IF(L79&gt;=PPO_L4,"Layer 04","Layer 05"))))</f>
        <v>Layer 03</v>
      </c>
      <c r="R79" s="29" t="n">
        <f aca="false">D79/IdealPPO-E79</f>
        <v>659.458666666667</v>
      </c>
      <c r="S79" s="29" t="n">
        <f aca="false">IdealTP*Weeks-(Weeks*J79+FirstFill)</f>
        <v>160.925</v>
      </c>
      <c r="T79" s="29" t="n">
        <f aca="false">IF(S79&gt;0,(F79-IdealTP*Weeks*E79)/S79,1000000000000)</f>
        <v>-86.6590026409819</v>
      </c>
      <c r="U79" s="27" t="n">
        <f aca="false">IF(E79&lt;=0,0,IF(G79&lt;=IdealTP,0,IF(L79&lt;=IdealPPO,0,INT(MIN(T79,R79)+0.000000001))))</f>
        <v>0</v>
      </c>
      <c r="V79" s="7" t="str">
        <f aca="false">IF(E79&lt;=0,"No current outlets",IF(G79&lt;=IdealTP,"TP already at or below ideal",IF(L79&lt;=IdealPPO,"PPO already at or below ideal",IF(T79&lt;=R79,"Stopped by TP reaching ideal","Stopped by PPO reaching ideal"))))</f>
        <v>TP already at or below ideal</v>
      </c>
      <c r="W79" s="30" t="n">
        <f aca="false">F79+U79*(Weeks*J79+FirstFill)</f>
        <v>76534.4</v>
      </c>
      <c r="X79" s="30" t="n">
        <f aca="false">E79+U79</f>
        <v>116</v>
      </c>
      <c r="Y79" s="24" t="n">
        <f aca="false">IFERROR(W79/(X79*Weeks),0)</f>
        <v>12.6880636604775</v>
      </c>
      <c r="Z79" s="30" t="n">
        <f aca="false">IFERROR(D79/X79,0)</f>
        <v>5013.74137931035</v>
      </c>
      <c r="AA79" s="7" t="str">
        <f aca="false">IF(AND(K79&gt;=NationalPCC,L79&gt;IdealPPO),"Q1: High PCC, High PPO",IF(K79&gt;=NationalPCC,"Q2: High PCC, Low PPO",IF(L79&gt;IdealPPO,"Q3: Low PCC, High PPO","Q4: Low PCC, Low PPO")))</f>
        <v>Q3: Low PCC, High PPO</v>
      </c>
      <c r="AB79" s="7" t="str">
        <f aca="false">IF(K79&gt;=NationalPCC,IF(L79&gt;IdealPPO,"Phase 1","Phase 2"),"Phase 3")</f>
        <v>Phase 3</v>
      </c>
      <c r="AC79" s="7" t="str">
        <f aca="false">IF(AND(G79&gt;IdealTP,L79&gt;IdealPPO),"High TP, High PPO",IF(G79&gt;IdealTP,"High TP, Low PPO",IF(L79&gt;IdealPPO,"Low TP, High PPO","Low TP, Low PPO")))</f>
        <v>Low TP, High PPO</v>
      </c>
      <c r="AD79" s="31" t="n">
        <f aca="false">INDEX(WaveNumbers,MATCH(C79,WaveNames,0))</f>
        <v>2</v>
      </c>
      <c r="AE79" s="32" t="str">
        <f aca="false">IF(U79&gt;0,AD79*10000000+VALUE(RIGHT(AB79,1))*1000000+(1000000-U79)+ROW()/1000000,"")</f>
        <v/>
      </c>
      <c r="AF79" s="31" t="str">
        <f aca="false">IF(U79&gt;0,COUNTIFS($AE$5:$AE$119,"&lt;"&amp;AE79)+1,"")</f>
        <v/>
      </c>
      <c r="AG79" s="7" t="str">
        <f aca="false">IF(AF79="","No",IF(AF79&lt;=TopN,"Yes","No"))</f>
        <v>No</v>
      </c>
      <c r="AH79" s="30" t="n">
        <f aca="false">INT('District Data'!O79*ConvRate)</f>
        <v>68</v>
      </c>
      <c r="AI79" s="27" t="n">
        <f aca="false">MIN(U79,AH79)</f>
        <v>0</v>
      </c>
      <c r="AJ79" s="7" t="str">
        <f aca="false">IF(U79=0,"No expansion",IF(AH79&lt;U79,"Supply constrained (not enough shops)","Demand constrained (enough shops)"))</f>
        <v>No expansion</v>
      </c>
      <c r="AK79" s="30" t="n">
        <f aca="false">IF(AG79="Yes",AI79,0)</f>
        <v>0</v>
      </c>
      <c r="AL79" s="26" t="n">
        <f aca="false">IF(AG79="Yes",IF(Budget1&gt;=ShortlistFinal,AK79,AK79/ShortlistFinal*Budget1),0)</f>
        <v>0</v>
      </c>
      <c r="AM79" s="30" t="n">
        <f aca="false">INT(AL79)</f>
        <v>0</v>
      </c>
      <c r="AN79" s="26" t="n">
        <f aca="false">IF(AND(AG79="Yes",Budget1&lt;ShortlistFinal),AL79-AM79,-1)</f>
        <v>-1</v>
      </c>
      <c r="AO79" s="27" t="n">
        <f aca="false">IF(AG79&lt;&gt;"Yes",0,IF(Budget1&gt;=ShortlistFinal,AK79,AM79+IF(COUNTIFS($AN$5:$AN$119,"&gt;"&amp;AN79)+COUNTIFS($AN$5:$AN$119,AN79,$AF$5:$AF$119,"&lt;"&amp;AF79)&lt;Budget1-SUM($AM$5:$AM$119),1,0)))</f>
        <v>0</v>
      </c>
      <c r="AP79" s="26" t="n">
        <f aca="false">IF(AG79="Yes",IF(Budget2&gt;=ShortlistFinal,AK79,AK79/ShortlistFinal*Budget2),0)</f>
        <v>0</v>
      </c>
      <c r="AQ79" s="30" t="n">
        <f aca="false">INT(AP79)</f>
        <v>0</v>
      </c>
      <c r="AR79" s="26" t="n">
        <f aca="false">IF(AND(AG79="Yes",Budget2&lt;ShortlistFinal),AP79-AQ79,-1)</f>
        <v>-1</v>
      </c>
      <c r="AS79" s="27" t="n">
        <f aca="false">IF(AG79&lt;&gt;"Yes",0,IF(Budget2&gt;=ShortlistFinal,AK79,AQ79+IF(COUNTIFS($AR$5:$AR$119,"&gt;"&amp;AR79)+COUNTIFS($AR$5:$AR$119,AR79,$AF$5:$AF$119,"&lt;"&amp;AF79)&lt;Budget2-SUM($AQ$5:$AQ$119),1,0)))</f>
        <v>0</v>
      </c>
      <c r="AT79" s="26" t="n">
        <f aca="false">AK79*Share2025</f>
        <v>0</v>
      </c>
      <c r="AU79" s="26" t="n">
        <f aca="false">AK79*Share2026</f>
        <v>0</v>
      </c>
      <c r="AV79" s="26" t="n">
        <f aca="false">AK79*Share2027</f>
        <v>0</v>
      </c>
      <c r="AW79" s="31" t="n">
        <f aca="false">INT(AT79)</f>
        <v>0</v>
      </c>
      <c r="AX79" s="31" t="n">
        <f aca="false">INT(AU79)</f>
        <v>0</v>
      </c>
      <c r="AY79" s="31" t="n">
        <f aca="false">INT(AV79)</f>
        <v>0</v>
      </c>
      <c r="AZ79" s="26" t="n">
        <f aca="false">AT79-AW79</f>
        <v>0</v>
      </c>
      <c r="BA79" s="26" t="n">
        <f aca="false">AU79-AX79</f>
        <v>0</v>
      </c>
      <c r="BB79" s="26" t="n">
        <f aca="false">AV79-AY79</f>
        <v>0</v>
      </c>
      <c r="BC79" s="31" t="n">
        <f aca="false">AK79-AW79-AX79-AY79</f>
        <v>0</v>
      </c>
      <c r="BD79" s="27" t="n">
        <f aca="false">AW79+IF((BA79&gt;AZ79)+(BB79&gt;AZ79)&lt;BC79,1,0)</f>
        <v>0</v>
      </c>
      <c r="BE79" s="27" t="n">
        <f aca="false">AX79+IF((AZ79&gt;BA79)+(BB79&gt;BA79)+(AZ79=BA79)&lt;BC79,1,0)</f>
        <v>0</v>
      </c>
      <c r="BF79" s="27" t="n">
        <f aca="false">AY79+IF((AZ79&gt;BB79)+(BA79&gt;BB79)+(AZ79=BB79)+(BA79=BB79)&lt;BC79,1,0)</f>
        <v>0</v>
      </c>
    </row>
    <row r="80" customFormat="false" ht="15" hidden="false" customHeight="false" outlineLevel="0" collapsed="false">
      <c r="A80" s="22" t="str">
        <f aca="false">'District Data'!A80</f>
        <v>Nawabshah</v>
      </c>
      <c r="B80" s="22" t="str">
        <f aca="false">'District Data'!C80</f>
        <v>Karachi Region</v>
      </c>
      <c r="C80" s="22" t="str">
        <f aca="false">'District Data'!D80</f>
        <v>Neighbouring</v>
      </c>
      <c r="D80" s="23" t="n">
        <f aca="false">ROUND('District Data'!E80*'District Data'!F80,0)</f>
        <v>641519</v>
      </c>
      <c r="E80" s="23" t="n">
        <f aca="false">'District Data'!I80</f>
        <v>92</v>
      </c>
      <c r="F80" s="23" t="n">
        <f aca="false">'District Data'!L80</f>
        <v>87815.9</v>
      </c>
      <c r="G80" s="24" t="n">
        <f aca="false">IFERROR(F80/(E80*Weeks),0)</f>
        <v>18.3561663879599</v>
      </c>
      <c r="H80" s="25" t="n">
        <f aca="false">IFERROR('District Data'!N80/('District Data'!M80*Weeks),0)</f>
        <v>7.45048076923077</v>
      </c>
      <c r="I80" s="24" t="n">
        <f aca="false">IFERROR(SUMIFS('District Data'!$N$5:$N$119,'District Data'!$C$5:$C$119,B80)/(SUMIFS('District Data'!$M$5:$M$119,'District Data'!$C$5:$C$119,B80)*Weeks),0)</f>
        <v>12.952446872194</v>
      </c>
      <c r="J80" s="24" t="n">
        <f aca="false">IF(TPBasis="NI TP",IF(H80&gt;0,H80,I80),G80)</f>
        <v>7.45048076923077</v>
      </c>
      <c r="K80" s="26" t="n">
        <f aca="false">IFERROR(F80/D80,0)</f>
        <v>0.136887449943026</v>
      </c>
      <c r="L80" s="27" t="n">
        <f aca="false">IFERROR(D80/E80,0)</f>
        <v>6973.03260869565</v>
      </c>
      <c r="M80" s="28" t="n">
        <f aca="false">IFERROR('District Data'!L80/'District Data'!K80-1,0)</f>
        <v>0.0874926316519464</v>
      </c>
      <c r="N80" s="28" t="n">
        <f aca="false">IFERROR(('District Data'!L80/'District Data'!J80)^(1/2)-1,0)</f>
        <v>0.11772633016278</v>
      </c>
      <c r="O80" s="28" t="n">
        <f aca="false">IFERROR('District Data'!I80/'District Data'!H80-1,0)</f>
        <v>0.108433734939759</v>
      </c>
      <c r="P80" s="7" t="str">
        <f aca="false">IF(K80&gt;=PCC_L1,"Layer 01",IF(K80&gt;=PCC_L2,"Layer 02",IF(K80&gt;=PCC_L3,"Layer 03",IF(K80&gt;=PCC_L4,"Layer 04","Layer 05"))))</f>
        <v>Layer 05</v>
      </c>
      <c r="Q80" s="7" t="str">
        <f aca="false">IF(L80&gt;=PPO_L1,"Layer 01",IF(L80&gt;=PPO_L2,"Layer 02",IF(L80&gt;=PPO_L3,"Layer 03",IF(L80&gt;=PPO_L4,"Layer 04","Layer 05"))))</f>
        <v>Layer 03</v>
      </c>
      <c r="R80" s="29" t="n">
        <f aca="false">D80/IdealPPO-E80</f>
        <v>763.358666666667</v>
      </c>
      <c r="S80" s="29" t="n">
        <f aca="false">IdealTP*Weeks-(Weeks*J80+FirstFill)</f>
        <v>312.575</v>
      </c>
      <c r="T80" s="29" t="n">
        <f aca="false">IF(S80&gt;0,(F80-IdealTP*Weeks*E80)/S80,1000000000000)</f>
        <v>51.3665520275134</v>
      </c>
      <c r="U80" s="27" t="n">
        <f aca="false">IF(E80&lt;=0,0,IF(G80&lt;=IdealTP,0,IF(L80&lt;=IdealPPO,0,INT(MIN(T80,R80)+0.000000001))))</f>
        <v>51</v>
      </c>
      <c r="V80" s="7" t="str">
        <f aca="false">IF(E80&lt;=0,"No current outlets",IF(G80&lt;=IdealTP,"TP already at or below ideal",IF(L80&lt;=IdealPPO,"PPO already at or below ideal",IF(T80&lt;=R80,"Stopped by TP reaching ideal","Stopped by PPO reaching ideal"))))</f>
        <v>Stopped by TP reaching ideal</v>
      </c>
      <c r="W80" s="30" t="n">
        <f aca="false">F80+U80*(Weeks*J80+FirstFill)</f>
        <v>111654.575</v>
      </c>
      <c r="X80" s="30" t="n">
        <f aca="false">E80+U80</f>
        <v>143</v>
      </c>
      <c r="Y80" s="24" t="n">
        <f aca="false">IFERROR(W80/(X80*Weeks),0)</f>
        <v>15.0154081495428</v>
      </c>
      <c r="Z80" s="30" t="n">
        <f aca="false">IFERROR(D80/X80,0)</f>
        <v>4486.14685314685</v>
      </c>
      <c r="AA80" s="7" t="str">
        <f aca="false">IF(AND(K80&gt;=NationalPCC,L80&gt;IdealPPO),"Q1: High PCC, High PPO",IF(K80&gt;=NationalPCC,"Q2: High PCC, Low PPO",IF(L80&gt;IdealPPO,"Q3: Low PCC, High PPO","Q4: Low PCC, Low PPO")))</f>
        <v>Q3: Low PCC, High PPO</v>
      </c>
      <c r="AB80" s="7" t="str">
        <f aca="false">IF(K80&gt;=NationalPCC,IF(L80&gt;IdealPPO,"Phase 1","Phase 2"),"Phase 3")</f>
        <v>Phase 3</v>
      </c>
      <c r="AC80" s="7" t="str">
        <f aca="false">IF(AND(G80&gt;IdealTP,L80&gt;IdealPPO),"High TP, High PPO",IF(G80&gt;IdealTP,"High TP, Low PPO",IF(L80&gt;IdealPPO,"Low TP, High PPO","Low TP, Low PPO")))</f>
        <v>High TP, High PPO</v>
      </c>
      <c r="AD80" s="31" t="n">
        <f aca="false">INDEX(WaveNumbers,MATCH(C80,WaveNames,0))</f>
        <v>2</v>
      </c>
      <c r="AE80" s="32" t="n">
        <f aca="false">IF(U80&gt;0,AD80*10000000+VALUE(RIGHT(AB80,1))*1000000+(1000000-U80)+ROW()/1000000,"")</f>
        <v>23999949.00008</v>
      </c>
      <c r="AF80" s="31" t="n">
        <f aca="false">IF(U80&gt;0,COUNTIFS($AE$5:$AE$119,"&lt;"&amp;AE80)+1,"")</f>
        <v>30</v>
      </c>
      <c r="AG80" s="7" t="str">
        <f aca="false">IF(AF80="","No",IF(AF80&lt;=TopN,"Yes","No"))</f>
        <v>Yes</v>
      </c>
      <c r="AH80" s="30" t="n">
        <f aca="false">INT('District Data'!O80*ConvRate)</f>
        <v>62</v>
      </c>
      <c r="AI80" s="27" t="n">
        <f aca="false">MIN(U80,AH80)</f>
        <v>51</v>
      </c>
      <c r="AJ80" s="7" t="str">
        <f aca="false">IF(U80=0,"No expansion",IF(AH80&lt;U80,"Supply constrained (not enough shops)","Demand constrained (enough shops)"))</f>
        <v>Demand constrained (enough shops)</v>
      </c>
      <c r="AK80" s="30" t="n">
        <f aca="false">IF(AG80="Yes",AI80,0)</f>
        <v>51</v>
      </c>
      <c r="AL80" s="26" t="n">
        <f aca="false">IF(AG80="Yes",IF(Budget1&gt;=ShortlistFinal,AK80,AK80/ShortlistFinal*Budget1),0)</f>
        <v>30.1552106430155</v>
      </c>
      <c r="AM80" s="30" t="n">
        <f aca="false">INT(AL80)</f>
        <v>30</v>
      </c>
      <c r="AN80" s="26" t="n">
        <f aca="false">IF(AND(AG80="Yes",Budget1&lt;ShortlistFinal),AL80-AM80,-1)</f>
        <v>0.155210643015522</v>
      </c>
      <c r="AO80" s="27" t="n">
        <f aca="false">IF(AG80&lt;&gt;"Yes",0,IF(Budget1&gt;=ShortlistFinal,AK80,AM80+IF(COUNTIFS($AN$5:$AN$119,"&gt;"&amp;AN80)+COUNTIFS($AN$5:$AN$119,AN80,$AF$5:$AF$119,"&lt;"&amp;AF80)&lt;Budget1-SUM($AM$5:$AM$119),1,0)))</f>
        <v>30</v>
      </c>
      <c r="AP80" s="26" t="n">
        <f aca="false">IF(AG80="Yes",IF(Budget2&gt;=ShortlistFinal,AK80,AK80/ShortlistFinal*Budget2),0)</f>
        <v>45.2328159645233</v>
      </c>
      <c r="AQ80" s="30" t="n">
        <f aca="false">INT(AP80)</f>
        <v>45</v>
      </c>
      <c r="AR80" s="26" t="n">
        <f aca="false">IF(AND(AG80="Yes",Budget2&lt;ShortlistFinal),AP80-AQ80,-1)</f>
        <v>0.232815964523283</v>
      </c>
      <c r="AS80" s="27" t="n">
        <f aca="false">IF(AG80&lt;&gt;"Yes",0,IF(Budget2&gt;=ShortlistFinal,AK80,AQ80+IF(COUNTIFS($AR$5:$AR$119,"&gt;"&amp;AR80)+COUNTIFS($AR$5:$AR$119,AR80,$AF$5:$AF$119,"&lt;"&amp;AF80)&lt;Budget2-SUM($AQ$5:$AQ$119),1,0)))</f>
        <v>45</v>
      </c>
      <c r="AT80" s="26" t="n">
        <f aca="false">AK80*Share2025</f>
        <v>18</v>
      </c>
      <c r="AU80" s="26" t="n">
        <f aca="false">AK80*Share2026</f>
        <v>18</v>
      </c>
      <c r="AV80" s="26" t="n">
        <f aca="false">AK80*Share2027</f>
        <v>15</v>
      </c>
      <c r="AW80" s="31" t="n">
        <f aca="false">INT(AT80)</f>
        <v>18</v>
      </c>
      <c r="AX80" s="31" t="n">
        <f aca="false">INT(AU80)</f>
        <v>18</v>
      </c>
      <c r="AY80" s="31" t="n">
        <f aca="false">INT(AV80)</f>
        <v>15</v>
      </c>
      <c r="AZ80" s="26" t="n">
        <f aca="false">AT80-AW80</f>
        <v>0</v>
      </c>
      <c r="BA80" s="26" t="n">
        <f aca="false">AU80-AX80</f>
        <v>0</v>
      </c>
      <c r="BB80" s="26" t="n">
        <f aca="false">AV80-AY80</f>
        <v>0</v>
      </c>
      <c r="BC80" s="31" t="n">
        <f aca="false">AK80-AW80-AX80-AY80</f>
        <v>0</v>
      </c>
      <c r="BD80" s="27" t="n">
        <f aca="false">AW80+IF((BA80&gt;AZ80)+(BB80&gt;AZ80)&lt;BC80,1,0)</f>
        <v>18</v>
      </c>
      <c r="BE80" s="27" t="n">
        <f aca="false">AX80+IF((AZ80&gt;BA80)+(BB80&gt;BA80)+(AZ80=BA80)&lt;BC80,1,0)</f>
        <v>18</v>
      </c>
      <c r="BF80" s="27" t="n">
        <f aca="false">AY80+IF((AZ80&gt;BB80)+(BA80&gt;BB80)+(AZ80=BB80)+(BA80=BB80)&lt;BC80,1,0)</f>
        <v>15</v>
      </c>
    </row>
    <row r="81" customFormat="false" ht="15" hidden="false" customHeight="false" outlineLevel="0" collapsed="false">
      <c r="A81" s="22" t="str">
        <f aca="false">'District Data'!A81</f>
        <v>North Waziristan</v>
      </c>
      <c r="B81" s="22" t="str">
        <f aca="false">'District Data'!C81</f>
        <v>Peshawar Region</v>
      </c>
      <c r="C81" s="22" t="str">
        <f aca="false">'District Data'!D81</f>
        <v>Rest</v>
      </c>
      <c r="D81" s="23" t="n">
        <f aca="false">ROUND('District Data'!E81*'District Data'!F81,0)</f>
        <v>125027</v>
      </c>
      <c r="E81" s="23" t="n">
        <f aca="false">'District Data'!I81</f>
        <v>14</v>
      </c>
      <c r="F81" s="23" t="n">
        <f aca="false">'District Data'!L81</f>
        <v>6901.8</v>
      </c>
      <c r="G81" s="24" t="n">
        <f aca="false">IFERROR(F81/(E81*Weeks),0)</f>
        <v>9.48049450549451</v>
      </c>
      <c r="H81" s="25" t="n">
        <f aca="false">IFERROR('District Data'!N81/('District Data'!M81*Weeks),0)</f>
        <v>2.64326923076923</v>
      </c>
      <c r="I81" s="24" t="n">
        <f aca="false">IFERROR(SUMIFS('District Data'!$N$5:$N$119,'District Data'!$C$5:$C$119,B81)/(SUMIFS('District Data'!$M$5:$M$119,'District Data'!$C$5:$C$119,B81)*Weeks),0)</f>
        <v>7.60397053195561</v>
      </c>
      <c r="J81" s="24" t="n">
        <f aca="false">IF(TPBasis="NI TP",IF(H81&gt;0,H81,I81),G81)</f>
        <v>2.64326923076923</v>
      </c>
      <c r="K81" s="26" t="n">
        <f aca="false">IFERROR(F81/D81,0)</f>
        <v>0.0552024762651267</v>
      </c>
      <c r="L81" s="27" t="n">
        <f aca="false">IFERROR(D81/E81,0)</f>
        <v>8930.5</v>
      </c>
      <c r="M81" s="28" t="n">
        <f aca="false">IFERROR('District Data'!L81/'District Data'!K81-1,0)</f>
        <v>0.0059026715053998</v>
      </c>
      <c r="N81" s="28" t="n">
        <f aca="false">IFERROR(('District Data'!L81/'District Data'!J81)^(1/2)-1,0)</f>
        <v>0.0227397988338467</v>
      </c>
      <c r="O81" s="28" t="n">
        <f aca="false">IFERROR('District Data'!I81/'District Data'!H81-1,0)</f>
        <v>0.0769230769230769</v>
      </c>
      <c r="P81" s="7" t="str">
        <f aca="false">IF(K81&gt;=PCC_L1,"Layer 01",IF(K81&gt;=PCC_L2,"Layer 02",IF(K81&gt;=PCC_L3,"Layer 03",IF(K81&gt;=PCC_L4,"Layer 04","Layer 05"))))</f>
        <v>Layer 05</v>
      </c>
      <c r="Q81" s="7" t="str">
        <f aca="false">IF(L81&gt;=PPO_L1,"Layer 01",IF(L81&gt;=PPO_L2,"Layer 02",IF(L81&gt;=PPO_L3,"Layer 03",IF(L81&gt;=PPO_L4,"Layer 04","Layer 05"))))</f>
        <v>Layer 03</v>
      </c>
      <c r="R81" s="29" t="n">
        <f aca="false">D81/IdealPPO-E81</f>
        <v>152.702666666667</v>
      </c>
      <c r="S81" s="29" t="n">
        <f aca="false">IdealTP*Weeks-(Weeks*J81+FirstFill)</f>
        <v>562.55</v>
      </c>
      <c r="T81" s="29" t="n">
        <f aca="false">IF(S81&gt;0,(F81-IdealTP*Weeks*E81)/S81,1000000000000)</f>
        <v>-7.14283174828904</v>
      </c>
      <c r="U81" s="27" t="n">
        <f aca="false">IF(E81&lt;=0,0,IF(G81&lt;=IdealTP,0,IF(L81&lt;=IdealPPO,0,INT(MIN(T81,R81)+0.000000001))))</f>
        <v>0</v>
      </c>
      <c r="V81" s="7" t="str">
        <f aca="false">IF(E81&lt;=0,"No current outlets",IF(G81&lt;=IdealTP,"TP already at or below ideal",IF(L81&lt;=IdealPPO,"PPO already at or below ideal",IF(T81&lt;=R81,"Stopped by TP reaching ideal","Stopped by PPO reaching ideal"))))</f>
        <v>TP already at or below ideal</v>
      </c>
      <c r="W81" s="30" t="n">
        <f aca="false">F81+U81*(Weeks*J81+FirstFill)</f>
        <v>6901.8</v>
      </c>
      <c r="X81" s="30" t="n">
        <f aca="false">E81+U81</f>
        <v>14</v>
      </c>
      <c r="Y81" s="24" t="n">
        <f aca="false">IFERROR(W81/(X81*Weeks),0)</f>
        <v>9.48049450549451</v>
      </c>
      <c r="Z81" s="30" t="n">
        <f aca="false">IFERROR(D81/X81,0)</f>
        <v>8930.5</v>
      </c>
      <c r="AA81" s="7" t="str">
        <f aca="false">IF(AND(K81&gt;=NationalPCC,L81&gt;IdealPPO),"Q1: High PCC, High PPO",IF(K81&gt;=NationalPCC,"Q2: High PCC, Low PPO",IF(L81&gt;IdealPPO,"Q3: Low PCC, High PPO","Q4: Low PCC, Low PPO")))</f>
        <v>Q3: Low PCC, High PPO</v>
      </c>
      <c r="AB81" s="7" t="str">
        <f aca="false">IF(K81&gt;=NationalPCC,IF(L81&gt;IdealPPO,"Phase 1","Phase 2"),"Phase 3")</f>
        <v>Phase 3</v>
      </c>
      <c r="AC81" s="7" t="str">
        <f aca="false">IF(AND(G81&gt;IdealTP,L81&gt;IdealPPO),"High TP, High PPO",IF(G81&gt;IdealTP,"High TP, Low PPO",IF(L81&gt;IdealPPO,"Low TP, High PPO","Low TP, Low PPO")))</f>
        <v>Low TP, High PPO</v>
      </c>
      <c r="AD81" s="31" t="n">
        <f aca="false">INDEX(WaveNumbers,MATCH(C81,WaveNames,0))</f>
        <v>4</v>
      </c>
      <c r="AE81" s="32" t="str">
        <f aca="false">IF(U81&gt;0,AD81*10000000+VALUE(RIGHT(AB81,1))*1000000+(1000000-U81)+ROW()/1000000,"")</f>
        <v/>
      </c>
      <c r="AF81" s="31" t="str">
        <f aca="false">IF(U81&gt;0,COUNTIFS($AE$5:$AE$119,"&lt;"&amp;AE81)+1,"")</f>
        <v/>
      </c>
      <c r="AG81" s="7" t="str">
        <f aca="false">IF(AF81="","No",IF(AF81&lt;=TopN,"Yes","No"))</f>
        <v>No</v>
      </c>
      <c r="AH81" s="30" t="n">
        <f aca="false">INT('District Data'!O81*ConvRate)</f>
        <v>3</v>
      </c>
      <c r="AI81" s="27" t="n">
        <f aca="false">MIN(U81,AH81)</f>
        <v>0</v>
      </c>
      <c r="AJ81" s="7" t="str">
        <f aca="false">IF(U81=0,"No expansion",IF(AH81&lt;U81,"Supply constrained (not enough shops)","Demand constrained (enough shops)"))</f>
        <v>No expansion</v>
      </c>
      <c r="AK81" s="30" t="n">
        <f aca="false">IF(AG81="Yes",AI81,0)</f>
        <v>0</v>
      </c>
      <c r="AL81" s="26" t="n">
        <f aca="false">IF(AG81="Yes",IF(Budget1&gt;=ShortlistFinal,AK81,AK81/ShortlistFinal*Budget1),0)</f>
        <v>0</v>
      </c>
      <c r="AM81" s="30" t="n">
        <f aca="false">INT(AL81)</f>
        <v>0</v>
      </c>
      <c r="AN81" s="26" t="n">
        <f aca="false">IF(AND(AG81="Yes",Budget1&lt;ShortlistFinal),AL81-AM81,-1)</f>
        <v>-1</v>
      </c>
      <c r="AO81" s="27" t="n">
        <f aca="false">IF(AG81&lt;&gt;"Yes",0,IF(Budget1&gt;=ShortlistFinal,AK81,AM81+IF(COUNTIFS($AN$5:$AN$119,"&gt;"&amp;AN81)+COUNTIFS($AN$5:$AN$119,AN81,$AF$5:$AF$119,"&lt;"&amp;AF81)&lt;Budget1-SUM($AM$5:$AM$119),1,0)))</f>
        <v>0</v>
      </c>
      <c r="AP81" s="26" t="n">
        <f aca="false">IF(AG81="Yes",IF(Budget2&gt;=ShortlistFinal,AK81,AK81/ShortlistFinal*Budget2),0)</f>
        <v>0</v>
      </c>
      <c r="AQ81" s="30" t="n">
        <f aca="false">INT(AP81)</f>
        <v>0</v>
      </c>
      <c r="AR81" s="26" t="n">
        <f aca="false">IF(AND(AG81="Yes",Budget2&lt;ShortlistFinal),AP81-AQ81,-1)</f>
        <v>-1</v>
      </c>
      <c r="AS81" s="27" t="n">
        <f aca="false">IF(AG81&lt;&gt;"Yes",0,IF(Budget2&gt;=ShortlistFinal,AK81,AQ81+IF(COUNTIFS($AR$5:$AR$119,"&gt;"&amp;AR81)+COUNTIFS($AR$5:$AR$119,AR81,$AF$5:$AF$119,"&lt;"&amp;AF81)&lt;Budget2-SUM($AQ$5:$AQ$119),1,0)))</f>
        <v>0</v>
      </c>
      <c r="AT81" s="26" t="n">
        <f aca="false">AK81*Share2025</f>
        <v>0</v>
      </c>
      <c r="AU81" s="26" t="n">
        <f aca="false">AK81*Share2026</f>
        <v>0</v>
      </c>
      <c r="AV81" s="26" t="n">
        <f aca="false">AK81*Share2027</f>
        <v>0</v>
      </c>
      <c r="AW81" s="31" t="n">
        <f aca="false">INT(AT81)</f>
        <v>0</v>
      </c>
      <c r="AX81" s="31" t="n">
        <f aca="false">INT(AU81)</f>
        <v>0</v>
      </c>
      <c r="AY81" s="31" t="n">
        <f aca="false">INT(AV81)</f>
        <v>0</v>
      </c>
      <c r="AZ81" s="26" t="n">
        <f aca="false">AT81-AW81</f>
        <v>0</v>
      </c>
      <c r="BA81" s="26" t="n">
        <f aca="false">AU81-AX81</f>
        <v>0</v>
      </c>
      <c r="BB81" s="26" t="n">
        <f aca="false">AV81-AY81</f>
        <v>0</v>
      </c>
      <c r="BC81" s="31" t="n">
        <f aca="false">AK81-AW81-AX81-AY81</f>
        <v>0</v>
      </c>
      <c r="BD81" s="27" t="n">
        <f aca="false">AW81+IF((BA81&gt;AZ81)+(BB81&gt;AZ81)&lt;BC81,1,0)</f>
        <v>0</v>
      </c>
      <c r="BE81" s="27" t="n">
        <f aca="false">AX81+IF((AZ81&gt;BA81)+(BB81&gt;BA81)+(AZ81=BA81)&lt;BC81,1,0)</f>
        <v>0</v>
      </c>
      <c r="BF81" s="27" t="n">
        <f aca="false">AY81+IF((AZ81&gt;BB81)+(BA81&gt;BB81)+(AZ81=BB81)+(BA81=BB81)&lt;BC81,1,0)</f>
        <v>0</v>
      </c>
    </row>
    <row r="82" customFormat="false" ht="15" hidden="false" customHeight="false" outlineLevel="0" collapsed="false">
      <c r="A82" s="22" t="str">
        <f aca="false">'District Data'!A82</f>
        <v>Nowshera</v>
      </c>
      <c r="B82" s="22" t="str">
        <f aca="false">'District Data'!C82</f>
        <v>Peshawar Region</v>
      </c>
      <c r="C82" s="22" t="str">
        <f aca="false">'District Data'!D82</f>
        <v>Stronghold</v>
      </c>
      <c r="D82" s="23" t="n">
        <f aca="false">ROUND('District Data'!E82*'District Data'!F82,0)</f>
        <v>455754</v>
      </c>
      <c r="E82" s="23" t="n">
        <f aca="false">'District Data'!I82</f>
        <v>173</v>
      </c>
      <c r="F82" s="23" t="n">
        <f aca="false">'District Data'!L82</f>
        <v>163059.2</v>
      </c>
      <c r="G82" s="24" t="n">
        <f aca="false">IFERROR(F82/(E82*Weeks),0)</f>
        <v>18.1257447754558</v>
      </c>
      <c r="H82" s="25" t="n">
        <f aca="false">IFERROR('District Data'!N82/('District Data'!M82*Weeks),0)</f>
        <v>7.99</v>
      </c>
      <c r="I82" s="24" t="n">
        <f aca="false">IFERROR(SUMIFS('District Data'!$N$5:$N$119,'District Data'!$C$5:$C$119,B82)/(SUMIFS('District Data'!$M$5:$M$119,'District Data'!$C$5:$C$119,B82)*Weeks),0)</f>
        <v>7.60397053195561</v>
      </c>
      <c r="J82" s="24" t="n">
        <f aca="false">IF(TPBasis="NI TP",IF(H82&gt;0,H82,I82),G82)</f>
        <v>7.99</v>
      </c>
      <c r="K82" s="26" t="n">
        <f aca="false">IFERROR(F82/D82,0)</f>
        <v>0.357778977255274</v>
      </c>
      <c r="L82" s="27" t="n">
        <f aca="false">IFERROR(D82/E82,0)</f>
        <v>2634.4161849711</v>
      </c>
      <c r="M82" s="28" t="n">
        <f aca="false">IFERROR('District Data'!L82/'District Data'!K82-1,0)</f>
        <v>0.12321616403197</v>
      </c>
      <c r="N82" s="28" t="n">
        <f aca="false">IFERROR(('District Data'!L82/'District Data'!J82)^(1/2)-1,0)</f>
        <v>0.120582882844085</v>
      </c>
      <c r="O82" s="28" t="n">
        <f aca="false">IFERROR('District Data'!I82/'District Data'!H82-1,0)</f>
        <v>0.101910828025478</v>
      </c>
      <c r="P82" s="7" t="str">
        <f aca="false">IF(K82&gt;=PCC_L1,"Layer 01",IF(K82&gt;=PCC_L2,"Layer 02",IF(K82&gt;=PCC_L3,"Layer 03",IF(K82&gt;=PCC_L4,"Layer 04","Layer 05"))))</f>
        <v>Layer 04</v>
      </c>
      <c r="Q82" s="7" t="str">
        <f aca="false">IF(L82&gt;=PPO_L1,"Layer 01",IF(L82&gt;=PPO_L2,"Layer 02",IF(L82&gt;=PPO_L3,"Layer 03",IF(L82&gt;=PPO_L4,"Layer 04","Layer 05"))))</f>
        <v>Layer 04</v>
      </c>
      <c r="R82" s="29" t="n">
        <f aca="false">D82/IdealPPO-E82</f>
        <v>434.672</v>
      </c>
      <c r="S82" s="29" t="n">
        <f aca="false">IdealTP*Weeks-(Weeks*J82+FirstFill)</f>
        <v>284.52</v>
      </c>
      <c r="T82" s="29" t="n">
        <f aca="false">IF(S82&gt;0,(F82-IdealTP*Weeks*E82)/S82,1000000000000)</f>
        <v>98.8303106987207</v>
      </c>
      <c r="U82" s="27" t="n">
        <f aca="false">IF(E82&lt;=0,0,IF(G82&lt;=IdealTP,0,IF(L82&lt;=IdealPPO,0,INT(MIN(T82,R82)+0.000000001))))</f>
        <v>98</v>
      </c>
      <c r="V82" s="7" t="str">
        <f aca="false">IF(E82&lt;=0,"No current outlets",IF(G82&lt;=IdealTP,"TP already at or below ideal",IF(L82&lt;=IdealPPO,"PPO already at or below ideal",IF(T82&lt;=R82,"Stopped by TP reaching ideal","Stopped by PPO reaching ideal"))))</f>
        <v>Stopped by TP reaching ideal</v>
      </c>
      <c r="W82" s="30" t="n">
        <f aca="false">F82+U82*(Weeks*J82+FirstFill)</f>
        <v>211616.24</v>
      </c>
      <c r="X82" s="30" t="n">
        <f aca="false">E82+U82</f>
        <v>271</v>
      </c>
      <c r="Y82" s="24" t="n">
        <f aca="false">IFERROR(W82/(X82*Weeks),0)</f>
        <v>15.0167641214874</v>
      </c>
      <c r="Z82" s="30" t="n">
        <f aca="false">IFERROR(D82/X82,0)</f>
        <v>1681.74907749077</v>
      </c>
      <c r="AA82" s="7" t="str">
        <f aca="false">IF(AND(K82&gt;=NationalPCC,L82&gt;IdealPPO),"Q1: High PCC, High PPO",IF(K82&gt;=NationalPCC,"Q2: High PCC, Low PPO",IF(L82&gt;IdealPPO,"Q3: Low PCC, High PPO","Q4: Low PCC, Low PPO")))</f>
        <v>Q3: Low PCC, High PPO</v>
      </c>
      <c r="AB82" s="7" t="str">
        <f aca="false">IF(K82&gt;=NationalPCC,IF(L82&gt;IdealPPO,"Phase 1","Phase 2"),"Phase 3")</f>
        <v>Phase 3</v>
      </c>
      <c r="AC82" s="7" t="str">
        <f aca="false">IF(AND(G82&gt;IdealTP,L82&gt;IdealPPO),"High TP, High PPO",IF(G82&gt;IdealTP,"High TP, Low PPO",IF(L82&gt;IdealPPO,"Low TP, High PPO","Low TP, Low PPO")))</f>
        <v>High TP, High PPO</v>
      </c>
      <c r="AD82" s="31" t="n">
        <f aca="false">INDEX(WaveNumbers,MATCH(C82,WaveNames,0))</f>
        <v>1</v>
      </c>
      <c r="AE82" s="32" t="n">
        <f aca="false">IF(U82&gt;0,AD82*10000000+VALUE(RIGHT(AB82,1))*1000000+(1000000-U82)+ROW()/1000000,"")</f>
        <v>13999902.000082</v>
      </c>
      <c r="AF82" s="31" t="n">
        <f aca="false">IF(U82&gt;0,COUNTIFS($AE$5:$AE$119,"&lt;"&amp;AE82)+1,"")</f>
        <v>17</v>
      </c>
      <c r="AG82" s="7" t="str">
        <f aca="false">IF(AF82="","No",IF(AF82&lt;=TopN,"Yes","No"))</f>
        <v>Yes</v>
      </c>
      <c r="AH82" s="30" t="n">
        <f aca="false">INT('District Data'!O82*ConvRate)</f>
        <v>27</v>
      </c>
      <c r="AI82" s="27" t="n">
        <f aca="false">MIN(U82,AH82)</f>
        <v>27</v>
      </c>
      <c r="AJ82" s="7" t="str">
        <f aca="false">IF(U82=0,"No expansion",IF(AH82&lt;U82,"Supply constrained (not enough shops)","Demand constrained (enough shops)"))</f>
        <v>Supply constrained (not enough shops)</v>
      </c>
      <c r="AK82" s="30" t="n">
        <f aca="false">IF(AG82="Yes",AI82,0)</f>
        <v>27</v>
      </c>
      <c r="AL82" s="26" t="n">
        <f aca="false">IF(AG82="Yes",IF(Budget1&gt;=ShortlistFinal,AK82,AK82/ShortlistFinal*Budget1),0)</f>
        <v>15.9645232815965</v>
      </c>
      <c r="AM82" s="30" t="n">
        <f aca="false">INT(AL82)</f>
        <v>15</v>
      </c>
      <c r="AN82" s="26" t="n">
        <f aca="false">IF(AND(AG82="Yes",Budget1&lt;ShortlistFinal),AL82-AM82,-1)</f>
        <v>0.964523281596453</v>
      </c>
      <c r="AO82" s="27" t="n">
        <f aca="false">IF(AG82&lt;&gt;"Yes",0,IF(Budget1&gt;=ShortlistFinal,AK82,AM82+IF(COUNTIFS($AN$5:$AN$119,"&gt;"&amp;AN82)+COUNTIFS($AN$5:$AN$119,AN82,$AF$5:$AF$119,"&lt;"&amp;AF82)&lt;Budget1-SUM($AM$5:$AM$119),1,0)))</f>
        <v>16</v>
      </c>
      <c r="AP82" s="26" t="n">
        <f aca="false">IF(AG82="Yes",IF(Budget2&gt;=ShortlistFinal,AK82,AK82/ShortlistFinal*Budget2),0)</f>
        <v>23.9467849223947</v>
      </c>
      <c r="AQ82" s="30" t="n">
        <f aca="false">INT(AP82)</f>
        <v>23</v>
      </c>
      <c r="AR82" s="26" t="n">
        <f aca="false">IF(AND(AG82="Yes",Budget2&lt;ShortlistFinal),AP82-AQ82,-1)</f>
        <v>0.946784922394677</v>
      </c>
      <c r="AS82" s="27" t="n">
        <f aca="false">IF(AG82&lt;&gt;"Yes",0,IF(Budget2&gt;=ShortlistFinal,AK82,AQ82+IF(COUNTIFS($AR$5:$AR$119,"&gt;"&amp;AR82)+COUNTIFS($AR$5:$AR$119,AR82,$AF$5:$AF$119,"&lt;"&amp;AF82)&lt;Budget2-SUM($AQ$5:$AQ$119),1,0)))</f>
        <v>24</v>
      </c>
      <c r="AT82" s="26" t="n">
        <f aca="false">AK82*Share2025</f>
        <v>9.52941176470588</v>
      </c>
      <c r="AU82" s="26" t="n">
        <f aca="false">AK82*Share2026</f>
        <v>9.52941176470588</v>
      </c>
      <c r="AV82" s="26" t="n">
        <f aca="false">AK82*Share2027</f>
        <v>7.94117647058823</v>
      </c>
      <c r="AW82" s="31" t="n">
        <f aca="false">INT(AT82)</f>
        <v>9</v>
      </c>
      <c r="AX82" s="31" t="n">
        <f aca="false">INT(AU82)</f>
        <v>9</v>
      </c>
      <c r="AY82" s="31" t="n">
        <f aca="false">INT(AV82)</f>
        <v>7</v>
      </c>
      <c r="AZ82" s="26" t="n">
        <f aca="false">AT82-AW82</f>
        <v>0.529411764705884</v>
      </c>
      <c r="BA82" s="26" t="n">
        <f aca="false">AU82-AX82</f>
        <v>0.529411764705884</v>
      </c>
      <c r="BB82" s="26" t="n">
        <f aca="false">AV82-AY82</f>
        <v>0.941176470588234</v>
      </c>
      <c r="BC82" s="31" t="n">
        <f aca="false">AK82-AW82-AX82-AY82</f>
        <v>2</v>
      </c>
      <c r="BD82" s="27" t="n">
        <f aca="false">AW82+IF((BA82&gt;AZ82)+(BB82&gt;AZ82)&lt;BC82,1,0)</f>
        <v>10</v>
      </c>
      <c r="BE82" s="27" t="n">
        <f aca="false">AX82+IF((AZ82&gt;BA82)+(BB82&gt;BA82)+(AZ82=BA82)&lt;BC82,1,0)</f>
        <v>9</v>
      </c>
      <c r="BF82" s="27" t="n">
        <f aca="false">AY82+IF((AZ82&gt;BB82)+(BA82&gt;BB82)+(AZ82=BB82)+(BA82=BB82)&lt;BC82,1,0)</f>
        <v>8</v>
      </c>
    </row>
    <row r="83" customFormat="false" ht="15" hidden="false" customHeight="false" outlineLevel="0" collapsed="false">
      <c r="A83" s="22" t="str">
        <f aca="false">'District Data'!A83</f>
        <v>Nushki</v>
      </c>
      <c r="B83" s="22" t="str">
        <f aca="false">'District Data'!C83</f>
        <v>Karachi Region</v>
      </c>
      <c r="C83" s="22" t="str">
        <f aca="false">'District Data'!D83</f>
        <v>Rest</v>
      </c>
      <c r="D83" s="23" t="n">
        <f aca="false">ROUND('District Data'!E83*'District Data'!F83,0)</f>
        <v>62860</v>
      </c>
      <c r="E83" s="23" t="n">
        <f aca="false">'District Data'!I83</f>
        <v>5</v>
      </c>
      <c r="F83" s="23" t="n">
        <f aca="false">'District Data'!L83</f>
        <v>1547.7</v>
      </c>
      <c r="G83" s="24" t="n">
        <f aca="false">IFERROR(F83/(E83*Weeks),0)</f>
        <v>5.95269230769231</v>
      </c>
      <c r="H83" s="25" t="n">
        <f aca="false">IFERROR('District Data'!N83/('District Data'!M83*Weeks),0)</f>
        <v>0</v>
      </c>
      <c r="I83" s="24" t="n">
        <f aca="false">IFERROR(SUMIFS('District Data'!$N$5:$N$119,'District Data'!$C$5:$C$119,B83)/(SUMIFS('District Data'!$M$5:$M$119,'District Data'!$C$5:$C$119,B83)*Weeks),0)</f>
        <v>12.952446872194</v>
      </c>
      <c r="J83" s="24" t="n">
        <f aca="false">IF(TPBasis="NI TP",IF(H83&gt;0,H83,I83),G83)</f>
        <v>12.952446872194</v>
      </c>
      <c r="K83" s="26" t="n">
        <f aca="false">IFERROR(F83/D83,0)</f>
        <v>0.0246213808463252</v>
      </c>
      <c r="L83" s="27" t="n">
        <f aca="false">IFERROR(D83/E83,0)</f>
        <v>12572</v>
      </c>
      <c r="M83" s="28" t="n">
        <f aca="false">IFERROR('District Data'!L83/'District Data'!K83-1,0)</f>
        <v>0.0302203288291287</v>
      </c>
      <c r="N83" s="28" t="n">
        <f aca="false">IFERROR(('District Data'!L83/'District Data'!J83)^(1/2)-1,0)</f>
        <v>0.0945755709159097</v>
      </c>
      <c r="O83" s="28" t="n">
        <f aca="false">IFERROR('District Data'!I83/'District Data'!H83-1,0)</f>
        <v>0</v>
      </c>
      <c r="P83" s="7" t="str">
        <f aca="false">IF(K83&gt;=PCC_L1,"Layer 01",IF(K83&gt;=PCC_L2,"Layer 02",IF(K83&gt;=PCC_L3,"Layer 03",IF(K83&gt;=PCC_L4,"Layer 04","Layer 05"))))</f>
        <v>Layer 05</v>
      </c>
      <c r="Q83" s="7" t="str">
        <f aca="false">IF(L83&gt;=PPO_L1,"Layer 01",IF(L83&gt;=PPO_L2,"Layer 02",IF(L83&gt;=PPO_L3,"Layer 03",IF(L83&gt;=PPO_L4,"Layer 04","Layer 05"))))</f>
        <v>Layer 03</v>
      </c>
      <c r="R83" s="29" t="n">
        <f aca="false">D83/IdealPPO-E83</f>
        <v>78.8133333333333</v>
      </c>
      <c r="S83" s="29" t="n">
        <f aca="false">IdealTP*Weeks-(Weeks*J83+FirstFill)</f>
        <v>26.4727626459144</v>
      </c>
      <c r="T83" s="29" t="n">
        <f aca="false">IF(S83&gt;0,(F83-IdealTP*Weeks*E83)/S83,1000000000000)</f>
        <v>-88.8573675314177</v>
      </c>
      <c r="U83" s="27" t="n">
        <f aca="false">IF(E83&lt;=0,0,IF(G83&lt;=IdealTP,0,IF(L83&lt;=IdealPPO,0,INT(MIN(T83,R83)+0.000000001))))</f>
        <v>0</v>
      </c>
      <c r="V83" s="7" t="str">
        <f aca="false">IF(E83&lt;=0,"No current outlets",IF(G83&lt;=IdealTP,"TP already at or below ideal",IF(L83&lt;=IdealPPO,"PPO already at or below ideal",IF(T83&lt;=R83,"Stopped by TP reaching ideal","Stopped by PPO reaching ideal"))))</f>
        <v>TP already at or below ideal</v>
      </c>
      <c r="W83" s="30" t="n">
        <f aca="false">F83+U83*(Weeks*J83+FirstFill)</f>
        <v>1547.7</v>
      </c>
      <c r="X83" s="30" t="n">
        <f aca="false">E83+U83</f>
        <v>5</v>
      </c>
      <c r="Y83" s="24" t="n">
        <f aca="false">IFERROR(W83/(X83*Weeks),0)</f>
        <v>5.95269230769231</v>
      </c>
      <c r="Z83" s="30" t="n">
        <f aca="false">IFERROR(D83/X83,0)</f>
        <v>12572</v>
      </c>
      <c r="AA83" s="7" t="str">
        <f aca="false">IF(AND(K83&gt;=NationalPCC,L83&gt;IdealPPO),"Q1: High PCC, High PPO",IF(K83&gt;=NationalPCC,"Q2: High PCC, Low PPO",IF(L83&gt;IdealPPO,"Q3: Low PCC, High PPO","Q4: Low PCC, Low PPO")))</f>
        <v>Q3: Low PCC, High PPO</v>
      </c>
      <c r="AB83" s="7" t="str">
        <f aca="false">IF(K83&gt;=NationalPCC,IF(L83&gt;IdealPPO,"Phase 1","Phase 2"),"Phase 3")</f>
        <v>Phase 3</v>
      </c>
      <c r="AC83" s="7" t="str">
        <f aca="false">IF(AND(G83&gt;IdealTP,L83&gt;IdealPPO),"High TP, High PPO",IF(G83&gt;IdealTP,"High TP, Low PPO",IF(L83&gt;IdealPPO,"Low TP, High PPO","Low TP, Low PPO")))</f>
        <v>Low TP, High PPO</v>
      </c>
      <c r="AD83" s="31" t="n">
        <f aca="false">INDEX(WaveNumbers,MATCH(C83,WaveNames,0))</f>
        <v>4</v>
      </c>
      <c r="AE83" s="32" t="str">
        <f aca="false">IF(U83&gt;0,AD83*10000000+VALUE(RIGHT(AB83,1))*1000000+(1000000-U83)+ROW()/1000000,"")</f>
        <v/>
      </c>
      <c r="AF83" s="31" t="str">
        <f aca="false">IF(U83&gt;0,COUNTIFS($AE$5:$AE$119,"&lt;"&amp;AE83)+1,"")</f>
        <v/>
      </c>
      <c r="AG83" s="7" t="str">
        <f aca="false">IF(AF83="","No",IF(AF83&lt;=TopN,"Yes","No"))</f>
        <v>No</v>
      </c>
      <c r="AH83" s="30" t="n">
        <f aca="false">INT('District Data'!O83*ConvRate)</f>
        <v>2</v>
      </c>
      <c r="AI83" s="27" t="n">
        <f aca="false">MIN(U83,AH83)</f>
        <v>0</v>
      </c>
      <c r="AJ83" s="7" t="str">
        <f aca="false">IF(U83=0,"No expansion",IF(AH83&lt;U83,"Supply constrained (not enough shops)","Demand constrained (enough shops)"))</f>
        <v>No expansion</v>
      </c>
      <c r="AK83" s="30" t="n">
        <f aca="false">IF(AG83="Yes",AI83,0)</f>
        <v>0</v>
      </c>
      <c r="AL83" s="26" t="n">
        <f aca="false">IF(AG83="Yes",IF(Budget1&gt;=ShortlistFinal,AK83,AK83/ShortlistFinal*Budget1),0)</f>
        <v>0</v>
      </c>
      <c r="AM83" s="30" t="n">
        <f aca="false">INT(AL83)</f>
        <v>0</v>
      </c>
      <c r="AN83" s="26" t="n">
        <f aca="false">IF(AND(AG83="Yes",Budget1&lt;ShortlistFinal),AL83-AM83,-1)</f>
        <v>-1</v>
      </c>
      <c r="AO83" s="27" t="n">
        <f aca="false">IF(AG83&lt;&gt;"Yes",0,IF(Budget1&gt;=ShortlistFinal,AK83,AM83+IF(COUNTIFS($AN$5:$AN$119,"&gt;"&amp;AN83)+COUNTIFS($AN$5:$AN$119,AN83,$AF$5:$AF$119,"&lt;"&amp;AF83)&lt;Budget1-SUM($AM$5:$AM$119),1,0)))</f>
        <v>0</v>
      </c>
      <c r="AP83" s="26" t="n">
        <f aca="false">IF(AG83="Yes",IF(Budget2&gt;=ShortlistFinal,AK83,AK83/ShortlistFinal*Budget2),0)</f>
        <v>0</v>
      </c>
      <c r="AQ83" s="30" t="n">
        <f aca="false">INT(AP83)</f>
        <v>0</v>
      </c>
      <c r="AR83" s="26" t="n">
        <f aca="false">IF(AND(AG83="Yes",Budget2&lt;ShortlistFinal),AP83-AQ83,-1)</f>
        <v>-1</v>
      </c>
      <c r="AS83" s="27" t="n">
        <f aca="false">IF(AG83&lt;&gt;"Yes",0,IF(Budget2&gt;=ShortlistFinal,AK83,AQ83+IF(COUNTIFS($AR$5:$AR$119,"&gt;"&amp;AR83)+COUNTIFS($AR$5:$AR$119,AR83,$AF$5:$AF$119,"&lt;"&amp;AF83)&lt;Budget2-SUM($AQ$5:$AQ$119),1,0)))</f>
        <v>0</v>
      </c>
      <c r="AT83" s="26" t="n">
        <f aca="false">AK83*Share2025</f>
        <v>0</v>
      </c>
      <c r="AU83" s="26" t="n">
        <f aca="false">AK83*Share2026</f>
        <v>0</v>
      </c>
      <c r="AV83" s="26" t="n">
        <f aca="false">AK83*Share2027</f>
        <v>0</v>
      </c>
      <c r="AW83" s="31" t="n">
        <f aca="false">INT(AT83)</f>
        <v>0</v>
      </c>
      <c r="AX83" s="31" t="n">
        <f aca="false">INT(AU83)</f>
        <v>0</v>
      </c>
      <c r="AY83" s="31" t="n">
        <f aca="false">INT(AV83)</f>
        <v>0</v>
      </c>
      <c r="AZ83" s="26" t="n">
        <f aca="false">AT83-AW83</f>
        <v>0</v>
      </c>
      <c r="BA83" s="26" t="n">
        <f aca="false">AU83-AX83</f>
        <v>0</v>
      </c>
      <c r="BB83" s="26" t="n">
        <f aca="false">AV83-AY83</f>
        <v>0</v>
      </c>
      <c r="BC83" s="31" t="n">
        <f aca="false">AK83-AW83-AX83-AY83</f>
        <v>0</v>
      </c>
      <c r="BD83" s="27" t="n">
        <f aca="false">AW83+IF((BA83&gt;AZ83)+(BB83&gt;AZ83)&lt;BC83,1,0)</f>
        <v>0</v>
      </c>
      <c r="BE83" s="27" t="n">
        <f aca="false">AX83+IF((AZ83&gt;BA83)+(BB83&gt;BA83)+(AZ83=BA83)&lt;BC83,1,0)</f>
        <v>0</v>
      </c>
      <c r="BF83" s="27" t="n">
        <f aca="false">AY83+IF((AZ83&gt;BB83)+(BA83&gt;BB83)+(AZ83=BB83)+(BA83=BB83)&lt;BC83,1,0)</f>
        <v>0</v>
      </c>
    </row>
    <row r="84" customFormat="false" ht="15" hidden="false" customHeight="false" outlineLevel="0" collapsed="false">
      <c r="A84" s="22" t="str">
        <f aca="false">'District Data'!A84</f>
        <v>Okara</v>
      </c>
      <c r="B84" s="22" t="str">
        <f aca="false">'District Data'!C84</f>
        <v>Lahore Region</v>
      </c>
      <c r="C84" s="22" t="str">
        <f aca="false">'District Data'!D84</f>
        <v>Neighbouring</v>
      </c>
      <c r="D84" s="23" t="n">
        <f aca="false">ROUND('District Data'!E84*'District Data'!F84,0)</f>
        <v>1094860</v>
      </c>
      <c r="E84" s="23" t="n">
        <f aca="false">'District Data'!I84</f>
        <v>175</v>
      </c>
      <c r="F84" s="23" t="n">
        <f aca="false">'District Data'!L84</f>
        <v>129388.3</v>
      </c>
      <c r="G84" s="24" t="n">
        <f aca="false">IFERROR(F84/(E84*Weeks),0)</f>
        <v>14.2184945054945</v>
      </c>
      <c r="H84" s="25" t="n">
        <f aca="false">IFERROR('District Data'!N84/('District Data'!M84*Weeks),0)</f>
        <v>10.2863122171946</v>
      </c>
      <c r="I84" s="24" t="n">
        <f aca="false">IFERROR(SUMIFS('District Data'!$N$5:$N$119,'District Data'!$C$5:$C$119,B84)/(SUMIFS('District Data'!$M$5:$M$119,'District Data'!$C$5:$C$119,B84)*Weeks),0)</f>
        <v>11.5536217630433</v>
      </c>
      <c r="J84" s="24" t="n">
        <f aca="false">IF(TPBasis="NI TP",IF(H84&gt;0,H84,I84),G84)</f>
        <v>10.2863122171946</v>
      </c>
      <c r="K84" s="26" t="n">
        <f aca="false">IFERROR(F84/D84,0)</f>
        <v>0.11817794055861</v>
      </c>
      <c r="L84" s="27" t="n">
        <f aca="false">IFERROR(D84/E84,0)</f>
        <v>6256.34285714286</v>
      </c>
      <c r="M84" s="28" t="n">
        <f aca="false">IFERROR('District Data'!L84/'District Data'!K84-1,0)</f>
        <v>0.0338178494324675</v>
      </c>
      <c r="N84" s="28" t="n">
        <f aca="false">IFERROR(('District Data'!L84/'District Data'!J84)^(1/2)-1,0)</f>
        <v>0.0161080907258862</v>
      </c>
      <c r="O84" s="28" t="n">
        <f aca="false">IFERROR('District Data'!I84/'District Data'!H84-1,0)</f>
        <v>0.0869565217391304</v>
      </c>
      <c r="P84" s="7" t="str">
        <f aca="false">IF(K84&gt;=PCC_L1,"Layer 01",IF(K84&gt;=PCC_L2,"Layer 02",IF(K84&gt;=PCC_L3,"Layer 03",IF(K84&gt;=PCC_L4,"Layer 04","Layer 05"))))</f>
        <v>Layer 05</v>
      </c>
      <c r="Q84" s="7" t="str">
        <f aca="false">IF(L84&gt;=PPO_L1,"Layer 01",IF(L84&gt;=PPO_L2,"Layer 02",IF(L84&gt;=PPO_L3,"Layer 03",IF(L84&gt;=PPO_L4,"Layer 04","Layer 05"))))</f>
        <v>Layer 03</v>
      </c>
      <c r="R84" s="29" t="n">
        <f aca="false">D84/IdealPPO-E84</f>
        <v>1284.81333333333</v>
      </c>
      <c r="S84" s="29" t="n">
        <f aca="false">IdealTP*Weeks-(Weeks*J84+FirstFill)</f>
        <v>165.111764705882</v>
      </c>
      <c r="T84" s="29" t="n">
        <f aca="false">IF(S84&gt;0,(F84-IdealTP*Weeks*E84)/S84,1000000000000)</f>
        <v>-43.0720367665396</v>
      </c>
      <c r="U84" s="27" t="n">
        <f aca="false">IF(E84&lt;=0,0,IF(G84&lt;=IdealTP,0,IF(L84&lt;=IdealPPO,0,INT(MIN(T84,R84)+0.000000001))))</f>
        <v>0</v>
      </c>
      <c r="V84" s="7" t="str">
        <f aca="false">IF(E84&lt;=0,"No current outlets",IF(G84&lt;=IdealTP,"TP already at or below ideal",IF(L84&lt;=IdealPPO,"PPO already at or below ideal",IF(T84&lt;=R84,"Stopped by TP reaching ideal","Stopped by PPO reaching ideal"))))</f>
        <v>TP already at or below ideal</v>
      </c>
      <c r="W84" s="30" t="n">
        <f aca="false">F84+U84*(Weeks*J84+FirstFill)</f>
        <v>129388.3</v>
      </c>
      <c r="X84" s="30" t="n">
        <f aca="false">E84+U84</f>
        <v>175</v>
      </c>
      <c r="Y84" s="24" t="n">
        <f aca="false">IFERROR(W84/(X84*Weeks),0)</f>
        <v>14.2184945054945</v>
      </c>
      <c r="Z84" s="30" t="n">
        <f aca="false">IFERROR(D84/X84,0)</f>
        <v>6256.34285714286</v>
      </c>
      <c r="AA84" s="7" t="str">
        <f aca="false">IF(AND(K84&gt;=NationalPCC,L84&gt;IdealPPO),"Q1: High PCC, High PPO",IF(K84&gt;=NationalPCC,"Q2: High PCC, Low PPO",IF(L84&gt;IdealPPO,"Q3: Low PCC, High PPO","Q4: Low PCC, Low PPO")))</f>
        <v>Q3: Low PCC, High PPO</v>
      </c>
      <c r="AB84" s="7" t="str">
        <f aca="false">IF(K84&gt;=NationalPCC,IF(L84&gt;IdealPPO,"Phase 1","Phase 2"),"Phase 3")</f>
        <v>Phase 3</v>
      </c>
      <c r="AC84" s="7" t="str">
        <f aca="false">IF(AND(G84&gt;IdealTP,L84&gt;IdealPPO),"High TP, High PPO",IF(G84&gt;IdealTP,"High TP, Low PPO",IF(L84&gt;IdealPPO,"Low TP, High PPO","Low TP, Low PPO")))</f>
        <v>Low TP, High PPO</v>
      </c>
      <c r="AD84" s="31" t="n">
        <f aca="false">INDEX(WaveNumbers,MATCH(C84,WaveNames,0))</f>
        <v>2</v>
      </c>
      <c r="AE84" s="32" t="str">
        <f aca="false">IF(U84&gt;0,AD84*10000000+VALUE(RIGHT(AB84,1))*1000000+(1000000-U84)+ROW()/1000000,"")</f>
        <v/>
      </c>
      <c r="AF84" s="31" t="str">
        <f aca="false">IF(U84&gt;0,COUNTIFS($AE$5:$AE$119,"&lt;"&amp;AE84)+1,"")</f>
        <v/>
      </c>
      <c r="AG84" s="7" t="str">
        <f aca="false">IF(AF84="","No",IF(AF84&lt;=TopN,"Yes","No"))</f>
        <v>No</v>
      </c>
      <c r="AH84" s="30" t="n">
        <f aca="false">INT('District Data'!O84*ConvRate)</f>
        <v>99</v>
      </c>
      <c r="AI84" s="27" t="n">
        <f aca="false">MIN(U84,AH84)</f>
        <v>0</v>
      </c>
      <c r="AJ84" s="7" t="str">
        <f aca="false">IF(U84=0,"No expansion",IF(AH84&lt;U84,"Supply constrained (not enough shops)","Demand constrained (enough shops)"))</f>
        <v>No expansion</v>
      </c>
      <c r="AK84" s="30" t="n">
        <f aca="false">IF(AG84="Yes",AI84,0)</f>
        <v>0</v>
      </c>
      <c r="AL84" s="26" t="n">
        <f aca="false">IF(AG84="Yes",IF(Budget1&gt;=ShortlistFinal,AK84,AK84/ShortlistFinal*Budget1),0)</f>
        <v>0</v>
      </c>
      <c r="AM84" s="30" t="n">
        <f aca="false">INT(AL84)</f>
        <v>0</v>
      </c>
      <c r="AN84" s="26" t="n">
        <f aca="false">IF(AND(AG84="Yes",Budget1&lt;ShortlistFinal),AL84-AM84,-1)</f>
        <v>-1</v>
      </c>
      <c r="AO84" s="27" t="n">
        <f aca="false">IF(AG84&lt;&gt;"Yes",0,IF(Budget1&gt;=ShortlistFinal,AK84,AM84+IF(COUNTIFS($AN$5:$AN$119,"&gt;"&amp;AN84)+COUNTIFS($AN$5:$AN$119,AN84,$AF$5:$AF$119,"&lt;"&amp;AF84)&lt;Budget1-SUM($AM$5:$AM$119),1,0)))</f>
        <v>0</v>
      </c>
      <c r="AP84" s="26" t="n">
        <f aca="false">IF(AG84="Yes",IF(Budget2&gt;=ShortlistFinal,AK84,AK84/ShortlistFinal*Budget2),0)</f>
        <v>0</v>
      </c>
      <c r="AQ84" s="30" t="n">
        <f aca="false">INT(AP84)</f>
        <v>0</v>
      </c>
      <c r="AR84" s="26" t="n">
        <f aca="false">IF(AND(AG84="Yes",Budget2&lt;ShortlistFinal),AP84-AQ84,-1)</f>
        <v>-1</v>
      </c>
      <c r="AS84" s="27" t="n">
        <f aca="false">IF(AG84&lt;&gt;"Yes",0,IF(Budget2&gt;=ShortlistFinal,AK84,AQ84+IF(COUNTIFS($AR$5:$AR$119,"&gt;"&amp;AR84)+COUNTIFS($AR$5:$AR$119,AR84,$AF$5:$AF$119,"&lt;"&amp;AF84)&lt;Budget2-SUM($AQ$5:$AQ$119),1,0)))</f>
        <v>0</v>
      </c>
      <c r="AT84" s="26" t="n">
        <f aca="false">AK84*Share2025</f>
        <v>0</v>
      </c>
      <c r="AU84" s="26" t="n">
        <f aca="false">AK84*Share2026</f>
        <v>0</v>
      </c>
      <c r="AV84" s="26" t="n">
        <f aca="false">AK84*Share2027</f>
        <v>0</v>
      </c>
      <c r="AW84" s="31" t="n">
        <f aca="false">INT(AT84)</f>
        <v>0</v>
      </c>
      <c r="AX84" s="31" t="n">
        <f aca="false">INT(AU84)</f>
        <v>0</v>
      </c>
      <c r="AY84" s="31" t="n">
        <f aca="false">INT(AV84)</f>
        <v>0</v>
      </c>
      <c r="AZ84" s="26" t="n">
        <f aca="false">AT84-AW84</f>
        <v>0</v>
      </c>
      <c r="BA84" s="26" t="n">
        <f aca="false">AU84-AX84</f>
        <v>0</v>
      </c>
      <c r="BB84" s="26" t="n">
        <f aca="false">AV84-AY84</f>
        <v>0</v>
      </c>
      <c r="BC84" s="31" t="n">
        <f aca="false">AK84-AW84-AX84-AY84</f>
        <v>0</v>
      </c>
      <c r="BD84" s="27" t="n">
        <f aca="false">AW84+IF((BA84&gt;AZ84)+(BB84&gt;AZ84)&lt;BC84,1,0)</f>
        <v>0</v>
      </c>
      <c r="BE84" s="27" t="n">
        <f aca="false">AX84+IF((AZ84&gt;BA84)+(BB84&gt;BA84)+(AZ84=BA84)&lt;BC84,1,0)</f>
        <v>0</v>
      </c>
      <c r="BF84" s="27" t="n">
        <f aca="false">AY84+IF((AZ84&gt;BB84)+(BA84&gt;BB84)+(AZ84=BB84)+(BA84=BB84)&lt;BC84,1,0)</f>
        <v>0</v>
      </c>
    </row>
    <row r="85" customFormat="false" ht="15" hidden="false" customHeight="false" outlineLevel="0" collapsed="false">
      <c r="A85" s="22" t="str">
        <f aca="false">'District Data'!A85</f>
        <v>Orakzai</v>
      </c>
      <c r="B85" s="22" t="str">
        <f aca="false">'District Data'!C85</f>
        <v>Peshawar Region</v>
      </c>
      <c r="C85" s="22" t="str">
        <f aca="false">'District Data'!D85</f>
        <v>Neighbouring</v>
      </c>
      <c r="D85" s="23" t="n">
        <f aca="false">ROUND('District Data'!E85*'District Data'!F85,0)</f>
        <v>41991</v>
      </c>
      <c r="E85" s="23" t="n">
        <f aca="false">'District Data'!I85</f>
        <v>10</v>
      </c>
      <c r="F85" s="23" t="n">
        <f aca="false">'District Data'!L85</f>
        <v>8568.5</v>
      </c>
      <c r="G85" s="24" t="n">
        <f aca="false">IFERROR(F85/(E85*Weeks),0)</f>
        <v>16.4778846153846</v>
      </c>
      <c r="H85" s="25" t="n">
        <f aca="false">IFERROR('District Data'!N85/('District Data'!M85*Weeks),0)</f>
        <v>4.75576923076923</v>
      </c>
      <c r="I85" s="24" t="n">
        <f aca="false">IFERROR(SUMIFS('District Data'!$N$5:$N$119,'District Data'!$C$5:$C$119,B85)/(SUMIFS('District Data'!$M$5:$M$119,'District Data'!$C$5:$C$119,B85)*Weeks),0)</f>
        <v>7.60397053195561</v>
      </c>
      <c r="J85" s="24" t="n">
        <f aca="false">IF(TPBasis="NI TP",IF(H85&gt;0,H85,I85),G85)</f>
        <v>4.75576923076923</v>
      </c>
      <c r="K85" s="26" t="n">
        <f aca="false">IFERROR(F85/D85,0)</f>
        <v>0.204055630968541</v>
      </c>
      <c r="L85" s="27" t="n">
        <f aca="false">IFERROR(D85/E85,0)</f>
        <v>4199.1</v>
      </c>
      <c r="M85" s="28" t="n">
        <f aca="false">IFERROR('District Data'!L85/'District Data'!K85-1,0)</f>
        <v>-0.00458875464684017</v>
      </c>
      <c r="N85" s="28" t="n">
        <f aca="false">IFERROR(('District Data'!L85/'District Data'!J85)^(1/2)-1,0)</f>
        <v>-0.0562622629316116</v>
      </c>
      <c r="O85" s="28" t="n">
        <f aca="false">IFERROR('District Data'!I85/'District Data'!H85-1,0)</f>
        <v>0.111111111111111</v>
      </c>
      <c r="P85" s="7" t="str">
        <f aca="false">IF(K85&gt;=PCC_L1,"Layer 01",IF(K85&gt;=PCC_L2,"Layer 02",IF(K85&gt;=PCC_L3,"Layer 03",IF(K85&gt;=PCC_L4,"Layer 04","Layer 05"))))</f>
        <v>Layer 04</v>
      </c>
      <c r="Q85" s="7" t="str">
        <f aca="false">IF(L85&gt;=PPO_L1,"Layer 01",IF(L85&gt;=PPO_L2,"Layer 02",IF(L85&gt;=PPO_L3,"Layer 03",IF(L85&gt;=PPO_L4,"Layer 04","Layer 05"))))</f>
        <v>Layer 03</v>
      </c>
      <c r="R85" s="29" t="n">
        <f aca="false">D85/IdealPPO-E85</f>
        <v>45.988</v>
      </c>
      <c r="S85" s="29" t="n">
        <f aca="false">IdealTP*Weeks-(Weeks*J85+FirstFill)</f>
        <v>452.7</v>
      </c>
      <c r="T85" s="29" t="n">
        <f aca="false">IF(S85&gt;0,(F85-IdealTP*Weeks*E85)/S85,1000000000000)</f>
        <v>1.69759222443119</v>
      </c>
      <c r="U85" s="27" t="n">
        <f aca="false">IF(E85&lt;=0,0,IF(G85&lt;=IdealTP,0,IF(L85&lt;=IdealPPO,0,INT(MIN(T85,R85)+0.000000001))))</f>
        <v>1</v>
      </c>
      <c r="V85" s="7" t="str">
        <f aca="false">IF(E85&lt;=0,"No current outlets",IF(G85&lt;=IdealTP,"TP already at or below ideal",IF(L85&lt;=IdealPPO,"PPO already at or below ideal",IF(T85&lt;=R85,"Stopped by TP reaching ideal","Stopped by PPO reaching ideal"))))</f>
        <v>Stopped by TP reaching ideal</v>
      </c>
      <c r="W85" s="30" t="n">
        <f aca="false">F85+U85*(Weeks*J85+FirstFill)</f>
        <v>8895.8</v>
      </c>
      <c r="X85" s="30" t="n">
        <f aca="false">E85+U85</f>
        <v>11</v>
      </c>
      <c r="Y85" s="24" t="n">
        <f aca="false">IFERROR(W85/(X85*Weeks),0)</f>
        <v>15.5520979020979</v>
      </c>
      <c r="Z85" s="30" t="n">
        <f aca="false">IFERROR(D85/X85,0)</f>
        <v>3817.36363636364</v>
      </c>
      <c r="AA85" s="7" t="str">
        <f aca="false">IF(AND(K85&gt;=NationalPCC,L85&gt;IdealPPO),"Q1: High PCC, High PPO",IF(K85&gt;=NationalPCC,"Q2: High PCC, Low PPO",IF(L85&gt;IdealPPO,"Q3: Low PCC, High PPO","Q4: Low PCC, Low PPO")))</f>
        <v>Q3: Low PCC, High PPO</v>
      </c>
      <c r="AB85" s="7" t="str">
        <f aca="false">IF(K85&gt;=NationalPCC,IF(L85&gt;IdealPPO,"Phase 1","Phase 2"),"Phase 3")</f>
        <v>Phase 3</v>
      </c>
      <c r="AC85" s="7" t="str">
        <f aca="false">IF(AND(G85&gt;IdealTP,L85&gt;IdealPPO),"High TP, High PPO",IF(G85&gt;IdealTP,"High TP, Low PPO",IF(L85&gt;IdealPPO,"Low TP, High PPO","Low TP, Low PPO")))</f>
        <v>High TP, High PPO</v>
      </c>
      <c r="AD85" s="31" t="n">
        <f aca="false">INDEX(WaveNumbers,MATCH(C85,WaveNames,0))</f>
        <v>2</v>
      </c>
      <c r="AE85" s="32" t="n">
        <f aca="false">IF(U85&gt;0,AD85*10000000+VALUE(RIGHT(AB85,1))*1000000+(1000000-U85)+ROW()/1000000,"")</f>
        <v>23999999.000085</v>
      </c>
      <c r="AF85" s="31" t="n">
        <f aca="false">IF(U85&gt;0,COUNTIFS($AE$5:$AE$119,"&lt;"&amp;AE85)+1,"")</f>
        <v>37</v>
      </c>
      <c r="AG85" s="7" t="str">
        <f aca="false">IF(AF85="","No",IF(AF85&lt;=TopN,"Yes","No"))</f>
        <v>Yes</v>
      </c>
      <c r="AH85" s="30" t="n">
        <f aca="false">INT('District Data'!O85*ConvRate)</f>
        <v>2</v>
      </c>
      <c r="AI85" s="27" t="n">
        <f aca="false">MIN(U85,AH85)</f>
        <v>1</v>
      </c>
      <c r="AJ85" s="7" t="str">
        <f aca="false">IF(U85=0,"No expansion",IF(AH85&lt;U85,"Supply constrained (not enough shops)","Demand constrained (enough shops)"))</f>
        <v>Demand constrained (enough shops)</v>
      </c>
      <c r="AK85" s="30" t="n">
        <f aca="false">IF(AG85="Yes",AI85,0)</f>
        <v>1</v>
      </c>
      <c r="AL85" s="26" t="n">
        <f aca="false">IF(AG85="Yes",IF(Budget1&gt;=ShortlistFinal,AK85,AK85/ShortlistFinal*Budget1),0)</f>
        <v>0.591278640059128</v>
      </c>
      <c r="AM85" s="30" t="n">
        <f aca="false">INT(AL85)</f>
        <v>0</v>
      </c>
      <c r="AN85" s="26" t="n">
        <f aca="false">IF(AND(AG85="Yes",Budget1&lt;ShortlistFinal),AL85-AM85,-1)</f>
        <v>0.591278640059128</v>
      </c>
      <c r="AO85" s="27" t="n">
        <f aca="false">IF(AG85&lt;&gt;"Yes",0,IF(Budget1&gt;=ShortlistFinal,AK85,AM85+IF(COUNTIFS($AN$5:$AN$119,"&gt;"&amp;AN85)+COUNTIFS($AN$5:$AN$119,AN85,$AF$5:$AF$119,"&lt;"&amp;AF85)&lt;Budget1-SUM($AM$5:$AM$119),1,0)))</f>
        <v>1</v>
      </c>
      <c r="AP85" s="26" t="n">
        <f aca="false">IF(AG85="Yes",IF(Budget2&gt;=ShortlistFinal,AK85,AK85/ShortlistFinal*Budget2),0)</f>
        <v>0.886917960088692</v>
      </c>
      <c r="AQ85" s="30" t="n">
        <f aca="false">INT(AP85)</f>
        <v>0</v>
      </c>
      <c r="AR85" s="26" t="n">
        <f aca="false">IF(AND(AG85="Yes",Budget2&lt;ShortlistFinal),AP85-AQ85,-1)</f>
        <v>0.886917960088692</v>
      </c>
      <c r="AS85" s="27" t="n">
        <f aca="false">IF(AG85&lt;&gt;"Yes",0,IF(Budget2&gt;=ShortlistFinal,AK85,AQ85+IF(COUNTIFS($AR$5:$AR$119,"&gt;"&amp;AR85)+COUNTIFS($AR$5:$AR$119,AR85,$AF$5:$AF$119,"&lt;"&amp;AF85)&lt;Budget2-SUM($AQ$5:$AQ$119),1,0)))</f>
        <v>1</v>
      </c>
      <c r="AT85" s="26" t="n">
        <f aca="false">AK85*Share2025</f>
        <v>0.352941176470588</v>
      </c>
      <c r="AU85" s="26" t="n">
        <f aca="false">AK85*Share2026</f>
        <v>0.352941176470588</v>
      </c>
      <c r="AV85" s="26" t="n">
        <f aca="false">AK85*Share2027</f>
        <v>0.294117647058824</v>
      </c>
      <c r="AW85" s="31" t="n">
        <f aca="false">INT(AT85)</f>
        <v>0</v>
      </c>
      <c r="AX85" s="31" t="n">
        <f aca="false">INT(AU85)</f>
        <v>0</v>
      </c>
      <c r="AY85" s="31" t="n">
        <f aca="false">INT(AV85)</f>
        <v>0</v>
      </c>
      <c r="AZ85" s="26" t="n">
        <f aca="false">AT85-AW85</f>
        <v>0.352941176470588</v>
      </c>
      <c r="BA85" s="26" t="n">
        <f aca="false">AU85-AX85</f>
        <v>0.352941176470588</v>
      </c>
      <c r="BB85" s="26" t="n">
        <f aca="false">AV85-AY85</f>
        <v>0.294117647058824</v>
      </c>
      <c r="BC85" s="31" t="n">
        <f aca="false">AK85-AW85-AX85-AY85</f>
        <v>1</v>
      </c>
      <c r="BD85" s="27" t="n">
        <f aca="false">AW85+IF((BA85&gt;AZ85)+(BB85&gt;AZ85)&lt;BC85,1,0)</f>
        <v>1</v>
      </c>
      <c r="BE85" s="27" t="n">
        <f aca="false">AX85+IF((AZ85&gt;BA85)+(BB85&gt;BA85)+(AZ85=BA85)&lt;BC85,1,0)</f>
        <v>0</v>
      </c>
      <c r="BF85" s="27" t="n">
        <f aca="false">AY85+IF((AZ85&gt;BB85)+(BA85&gt;BB85)+(AZ85=BB85)+(BA85=BB85)&lt;BC85,1,0)</f>
        <v>0</v>
      </c>
    </row>
    <row r="86" customFormat="false" ht="15" hidden="false" customHeight="false" outlineLevel="0" collapsed="false">
      <c r="A86" s="22" t="str">
        <f aca="false">'District Data'!A86</f>
        <v>Pakpattan</v>
      </c>
      <c r="B86" s="22" t="str">
        <f aca="false">'District Data'!C86</f>
        <v>Multan Region</v>
      </c>
      <c r="C86" s="22" t="str">
        <f aca="false">'District Data'!D86</f>
        <v>Rest</v>
      </c>
      <c r="D86" s="23" t="n">
        <f aca="false">ROUND('District Data'!E86*'District Data'!F86,0)</f>
        <v>486873</v>
      </c>
      <c r="E86" s="23" t="n">
        <f aca="false">'District Data'!I86</f>
        <v>108</v>
      </c>
      <c r="F86" s="23" t="n">
        <f aca="false">'District Data'!L86</f>
        <v>84460.3</v>
      </c>
      <c r="G86" s="24" t="n">
        <f aca="false">IFERROR(F86/(E86*Weeks),0)</f>
        <v>15.0392272079772</v>
      </c>
      <c r="H86" s="25" t="n">
        <f aca="false">IFERROR('District Data'!N86/('District Data'!M86*Weeks),0)</f>
        <v>7.81568047337278</v>
      </c>
      <c r="I86" s="24" t="n">
        <f aca="false">IFERROR(SUMIFS('District Data'!$N$5:$N$119,'District Data'!$C$5:$C$119,B86)/(SUMIFS('District Data'!$M$5:$M$119,'District Data'!$C$5:$C$119,B86)*Weeks),0)</f>
        <v>8.16663285109386</v>
      </c>
      <c r="J86" s="24" t="n">
        <f aca="false">IF(TPBasis="NI TP",IF(H86&gt;0,H86,I86),G86)</f>
        <v>7.81568047337278</v>
      </c>
      <c r="K86" s="26" t="n">
        <f aca="false">IFERROR(F86/D86,0)</f>
        <v>0.173475012991068</v>
      </c>
      <c r="L86" s="27" t="n">
        <f aca="false">IFERROR(D86/E86,0)</f>
        <v>4508.08333333333</v>
      </c>
      <c r="M86" s="28" t="n">
        <f aca="false">IFERROR('District Data'!L86/'District Data'!K86-1,0)</f>
        <v>0.0346279407351149</v>
      </c>
      <c r="N86" s="28" t="n">
        <f aca="false">IFERROR(('District Data'!L86/'District Data'!J86)^(1/2)-1,0)</f>
        <v>0.0312243661728349</v>
      </c>
      <c r="O86" s="28" t="n">
        <f aca="false">IFERROR('District Data'!I86/'District Data'!H86-1,0)</f>
        <v>0.0909090909090908</v>
      </c>
      <c r="P86" s="7" t="str">
        <f aca="false">IF(K86&gt;=PCC_L1,"Layer 01",IF(K86&gt;=PCC_L2,"Layer 02",IF(K86&gt;=PCC_L3,"Layer 03",IF(K86&gt;=PCC_L4,"Layer 04","Layer 05"))))</f>
        <v>Layer 05</v>
      </c>
      <c r="Q86" s="7" t="str">
        <f aca="false">IF(L86&gt;=PPO_L1,"Layer 01",IF(L86&gt;=PPO_L2,"Layer 02",IF(L86&gt;=PPO_L3,"Layer 03",IF(L86&gt;=PPO_L4,"Layer 04","Layer 05"))))</f>
        <v>Layer 03</v>
      </c>
      <c r="R86" s="29" t="n">
        <f aca="false">D86/IdealPPO-E86</f>
        <v>541.164</v>
      </c>
      <c r="S86" s="29" t="n">
        <f aca="false">IdealTP*Weeks-(Weeks*J86+FirstFill)</f>
        <v>293.584615384615</v>
      </c>
      <c r="T86" s="29" t="n">
        <f aca="false">IF(S86&gt;0,(F86-IdealTP*Weeks*E86)/S86,1000000000000)</f>
        <v>0.75037991929991</v>
      </c>
      <c r="U86" s="27" t="n">
        <f aca="false">IF(E86&lt;=0,0,IF(G86&lt;=IdealTP,0,IF(L86&lt;=IdealPPO,0,INT(MIN(T86,R86)+0.000000001))))</f>
        <v>0</v>
      </c>
      <c r="V86" s="7" t="str">
        <f aca="false">IF(E86&lt;=0,"No current outlets",IF(G86&lt;=IdealTP,"TP already at or below ideal",IF(L86&lt;=IdealPPO,"PPO already at or below ideal",IF(T86&lt;=R86,"Stopped by TP reaching ideal","Stopped by PPO reaching ideal"))))</f>
        <v>Stopped by TP reaching ideal</v>
      </c>
      <c r="W86" s="30" t="n">
        <f aca="false">F86+U86*(Weeks*J86+FirstFill)</f>
        <v>84460.3</v>
      </c>
      <c r="X86" s="30" t="n">
        <f aca="false">E86+U86</f>
        <v>108</v>
      </c>
      <c r="Y86" s="24" t="n">
        <f aca="false">IFERROR(W86/(X86*Weeks),0)</f>
        <v>15.0392272079772</v>
      </c>
      <c r="Z86" s="30" t="n">
        <f aca="false">IFERROR(D86/X86,0)</f>
        <v>4508.08333333333</v>
      </c>
      <c r="AA86" s="7" t="str">
        <f aca="false">IF(AND(K86&gt;=NationalPCC,L86&gt;IdealPPO),"Q1: High PCC, High PPO",IF(K86&gt;=NationalPCC,"Q2: High PCC, Low PPO",IF(L86&gt;IdealPPO,"Q3: Low PCC, High PPO","Q4: Low PCC, Low PPO")))</f>
        <v>Q3: Low PCC, High PPO</v>
      </c>
      <c r="AB86" s="7" t="str">
        <f aca="false">IF(K86&gt;=NationalPCC,IF(L86&gt;IdealPPO,"Phase 1","Phase 2"),"Phase 3")</f>
        <v>Phase 3</v>
      </c>
      <c r="AC86" s="7" t="str">
        <f aca="false">IF(AND(G86&gt;IdealTP,L86&gt;IdealPPO),"High TP, High PPO",IF(G86&gt;IdealTP,"High TP, Low PPO",IF(L86&gt;IdealPPO,"Low TP, High PPO","Low TP, Low PPO")))</f>
        <v>High TP, High PPO</v>
      </c>
      <c r="AD86" s="31" t="n">
        <f aca="false">INDEX(WaveNumbers,MATCH(C86,WaveNames,0))</f>
        <v>4</v>
      </c>
      <c r="AE86" s="32" t="str">
        <f aca="false">IF(U86&gt;0,AD86*10000000+VALUE(RIGHT(AB86,1))*1000000+(1000000-U86)+ROW()/1000000,"")</f>
        <v/>
      </c>
      <c r="AF86" s="31" t="str">
        <f aca="false">IF(U86&gt;0,COUNTIFS($AE$5:$AE$119,"&lt;"&amp;AE86)+1,"")</f>
        <v/>
      </c>
      <c r="AG86" s="7" t="str">
        <f aca="false">IF(AF86="","No",IF(AF86&lt;=TopN,"Yes","No"))</f>
        <v>No</v>
      </c>
      <c r="AH86" s="30" t="n">
        <f aca="false">INT('District Data'!O86*ConvRate)</f>
        <v>46</v>
      </c>
      <c r="AI86" s="27" t="n">
        <f aca="false">MIN(U86,AH86)</f>
        <v>0</v>
      </c>
      <c r="AJ86" s="7" t="str">
        <f aca="false">IF(U86=0,"No expansion",IF(AH86&lt;U86,"Supply constrained (not enough shops)","Demand constrained (enough shops)"))</f>
        <v>No expansion</v>
      </c>
      <c r="AK86" s="30" t="n">
        <f aca="false">IF(AG86="Yes",AI86,0)</f>
        <v>0</v>
      </c>
      <c r="AL86" s="26" t="n">
        <f aca="false">IF(AG86="Yes",IF(Budget1&gt;=ShortlistFinal,AK86,AK86/ShortlistFinal*Budget1),0)</f>
        <v>0</v>
      </c>
      <c r="AM86" s="30" t="n">
        <f aca="false">INT(AL86)</f>
        <v>0</v>
      </c>
      <c r="AN86" s="26" t="n">
        <f aca="false">IF(AND(AG86="Yes",Budget1&lt;ShortlistFinal),AL86-AM86,-1)</f>
        <v>-1</v>
      </c>
      <c r="AO86" s="27" t="n">
        <f aca="false">IF(AG86&lt;&gt;"Yes",0,IF(Budget1&gt;=ShortlistFinal,AK86,AM86+IF(COUNTIFS($AN$5:$AN$119,"&gt;"&amp;AN86)+COUNTIFS($AN$5:$AN$119,AN86,$AF$5:$AF$119,"&lt;"&amp;AF86)&lt;Budget1-SUM($AM$5:$AM$119),1,0)))</f>
        <v>0</v>
      </c>
      <c r="AP86" s="26" t="n">
        <f aca="false">IF(AG86="Yes",IF(Budget2&gt;=ShortlistFinal,AK86,AK86/ShortlistFinal*Budget2),0)</f>
        <v>0</v>
      </c>
      <c r="AQ86" s="30" t="n">
        <f aca="false">INT(AP86)</f>
        <v>0</v>
      </c>
      <c r="AR86" s="26" t="n">
        <f aca="false">IF(AND(AG86="Yes",Budget2&lt;ShortlistFinal),AP86-AQ86,-1)</f>
        <v>-1</v>
      </c>
      <c r="AS86" s="27" t="n">
        <f aca="false">IF(AG86&lt;&gt;"Yes",0,IF(Budget2&gt;=ShortlistFinal,AK86,AQ86+IF(COUNTIFS($AR$5:$AR$119,"&gt;"&amp;AR86)+COUNTIFS($AR$5:$AR$119,AR86,$AF$5:$AF$119,"&lt;"&amp;AF86)&lt;Budget2-SUM($AQ$5:$AQ$119),1,0)))</f>
        <v>0</v>
      </c>
      <c r="AT86" s="26" t="n">
        <f aca="false">AK86*Share2025</f>
        <v>0</v>
      </c>
      <c r="AU86" s="26" t="n">
        <f aca="false">AK86*Share2026</f>
        <v>0</v>
      </c>
      <c r="AV86" s="26" t="n">
        <f aca="false">AK86*Share2027</f>
        <v>0</v>
      </c>
      <c r="AW86" s="31" t="n">
        <f aca="false">INT(AT86)</f>
        <v>0</v>
      </c>
      <c r="AX86" s="31" t="n">
        <f aca="false">INT(AU86)</f>
        <v>0</v>
      </c>
      <c r="AY86" s="31" t="n">
        <f aca="false">INT(AV86)</f>
        <v>0</v>
      </c>
      <c r="AZ86" s="26" t="n">
        <f aca="false">AT86-AW86</f>
        <v>0</v>
      </c>
      <c r="BA86" s="26" t="n">
        <f aca="false">AU86-AX86</f>
        <v>0</v>
      </c>
      <c r="BB86" s="26" t="n">
        <f aca="false">AV86-AY86</f>
        <v>0</v>
      </c>
      <c r="BC86" s="31" t="n">
        <f aca="false">AK86-AW86-AX86-AY86</f>
        <v>0</v>
      </c>
      <c r="BD86" s="27" t="n">
        <f aca="false">AW86+IF((BA86&gt;AZ86)+(BB86&gt;AZ86)&lt;BC86,1,0)</f>
        <v>0</v>
      </c>
      <c r="BE86" s="27" t="n">
        <f aca="false">AX86+IF((AZ86&gt;BA86)+(BB86&gt;BA86)+(AZ86=BA86)&lt;BC86,1,0)</f>
        <v>0</v>
      </c>
      <c r="BF86" s="27" t="n">
        <f aca="false">AY86+IF((AZ86&gt;BB86)+(BA86&gt;BB86)+(AZ86=BB86)+(BA86=BB86)&lt;BC86,1,0)</f>
        <v>0</v>
      </c>
    </row>
    <row r="87" customFormat="false" ht="15" hidden="false" customHeight="false" outlineLevel="0" collapsed="false">
      <c r="A87" s="22" t="str">
        <f aca="false">'District Data'!A87</f>
        <v>Panjgur</v>
      </c>
      <c r="B87" s="22" t="str">
        <f aca="false">'District Data'!C87</f>
        <v>Karachi Region</v>
      </c>
      <c r="C87" s="22" t="str">
        <f aca="false">'District Data'!D87</f>
        <v>Rest</v>
      </c>
      <c r="D87" s="23" t="n">
        <f aca="false">ROUND('District Data'!E87*'District Data'!F87,0)</f>
        <v>138619</v>
      </c>
      <c r="E87" s="23" t="n">
        <f aca="false">'District Data'!I87</f>
        <v>9</v>
      </c>
      <c r="F87" s="23" t="n">
        <f aca="false">'District Data'!L87</f>
        <v>4346.5</v>
      </c>
      <c r="G87" s="24" t="n">
        <f aca="false">IFERROR(F87/(E87*Weeks),0)</f>
        <v>9.28739316239316</v>
      </c>
      <c r="H87" s="25" t="n">
        <f aca="false">IFERROR('District Data'!N87/('District Data'!M87*Weeks),0)</f>
        <v>0</v>
      </c>
      <c r="I87" s="24" t="n">
        <f aca="false">IFERROR(SUMIFS('District Data'!$N$5:$N$119,'District Data'!$C$5:$C$119,B87)/(SUMIFS('District Data'!$M$5:$M$119,'District Data'!$C$5:$C$119,B87)*Weeks),0)</f>
        <v>12.952446872194</v>
      </c>
      <c r="J87" s="24" t="n">
        <f aca="false">IF(TPBasis="NI TP",IF(H87&gt;0,H87,I87),G87)</f>
        <v>12.952446872194</v>
      </c>
      <c r="K87" s="26" t="n">
        <f aca="false">IFERROR(F87/D87,0)</f>
        <v>0.031355730455421</v>
      </c>
      <c r="L87" s="27" t="n">
        <f aca="false">IFERROR(D87/E87,0)</f>
        <v>15402.1111111111</v>
      </c>
      <c r="M87" s="28" t="n">
        <f aca="false">IFERROR('District Data'!L87/'District Data'!K87-1,0)</f>
        <v>0.0355960067665768</v>
      </c>
      <c r="N87" s="28" t="n">
        <f aca="false">IFERROR(('District Data'!L87/'District Data'!J87)^(1/2)-1,0)</f>
        <v>0.127526201620954</v>
      </c>
      <c r="O87" s="28" t="n">
        <f aca="false">IFERROR('District Data'!I87/'District Data'!H87-1,0)</f>
        <v>0</v>
      </c>
      <c r="P87" s="7" t="str">
        <f aca="false">IF(K87&gt;=PCC_L1,"Layer 01",IF(K87&gt;=PCC_L2,"Layer 02",IF(K87&gt;=PCC_L3,"Layer 03",IF(K87&gt;=PCC_L4,"Layer 04","Layer 05"))))</f>
        <v>Layer 05</v>
      </c>
      <c r="Q87" s="7" t="str">
        <f aca="false">IF(L87&gt;=PPO_L1,"Layer 01",IF(L87&gt;=PPO_L2,"Layer 02",IF(L87&gt;=PPO_L3,"Layer 03",IF(L87&gt;=PPO_L4,"Layer 04","Layer 05"))))</f>
        <v>Layer 02</v>
      </c>
      <c r="R87" s="29" t="n">
        <f aca="false">D87/IdealPPO-E87</f>
        <v>175.825333333333</v>
      </c>
      <c r="S87" s="29" t="n">
        <f aca="false">IdealTP*Weeks-(Weeks*J87+FirstFill)</f>
        <v>26.4727626459144</v>
      </c>
      <c r="T87" s="29" t="n">
        <f aca="false">IF(S87&gt;0,(F87-IdealTP*Weeks*E87)/S87,1000000000000)</f>
        <v>-100.990593077093</v>
      </c>
      <c r="U87" s="27" t="n">
        <f aca="false">IF(E87&lt;=0,0,IF(G87&lt;=IdealTP,0,IF(L87&lt;=IdealPPO,0,INT(MIN(T87,R87)+0.000000001))))</f>
        <v>0</v>
      </c>
      <c r="V87" s="7" t="str">
        <f aca="false">IF(E87&lt;=0,"No current outlets",IF(G87&lt;=IdealTP,"TP already at or below ideal",IF(L87&lt;=IdealPPO,"PPO already at or below ideal",IF(T87&lt;=R87,"Stopped by TP reaching ideal","Stopped by PPO reaching ideal"))))</f>
        <v>TP already at or below ideal</v>
      </c>
      <c r="W87" s="30" t="n">
        <f aca="false">F87+U87*(Weeks*J87+FirstFill)</f>
        <v>4346.5</v>
      </c>
      <c r="X87" s="30" t="n">
        <f aca="false">E87+U87</f>
        <v>9</v>
      </c>
      <c r="Y87" s="24" t="n">
        <f aca="false">IFERROR(W87/(X87*Weeks),0)</f>
        <v>9.28739316239316</v>
      </c>
      <c r="Z87" s="30" t="n">
        <f aca="false">IFERROR(D87/X87,0)</f>
        <v>15402.1111111111</v>
      </c>
      <c r="AA87" s="7" t="str">
        <f aca="false">IF(AND(K87&gt;=NationalPCC,L87&gt;IdealPPO),"Q1: High PCC, High PPO",IF(K87&gt;=NationalPCC,"Q2: High PCC, Low PPO",IF(L87&gt;IdealPPO,"Q3: Low PCC, High PPO","Q4: Low PCC, Low PPO")))</f>
        <v>Q3: Low PCC, High PPO</v>
      </c>
      <c r="AB87" s="7" t="str">
        <f aca="false">IF(K87&gt;=NationalPCC,IF(L87&gt;IdealPPO,"Phase 1","Phase 2"),"Phase 3")</f>
        <v>Phase 3</v>
      </c>
      <c r="AC87" s="7" t="str">
        <f aca="false">IF(AND(G87&gt;IdealTP,L87&gt;IdealPPO),"High TP, High PPO",IF(G87&gt;IdealTP,"High TP, Low PPO",IF(L87&gt;IdealPPO,"Low TP, High PPO","Low TP, Low PPO")))</f>
        <v>Low TP, High PPO</v>
      </c>
      <c r="AD87" s="31" t="n">
        <f aca="false">INDEX(WaveNumbers,MATCH(C87,WaveNames,0))</f>
        <v>4</v>
      </c>
      <c r="AE87" s="32" t="str">
        <f aca="false">IF(U87&gt;0,AD87*10000000+VALUE(RIGHT(AB87,1))*1000000+(1000000-U87)+ROW()/1000000,"")</f>
        <v/>
      </c>
      <c r="AF87" s="31" t="str">
        <f aca="false">IF(U87&gt;0,COUNTIFS($AE$5:$AE$119,"&lt;"&amp;AE87)+1,"")</f>
        <v/>
      </c>
      <c r="AG87" s="7" t="str">
        <f aca="false">IF(AF87="","No",IF(AF87&lt;=TopN,"Yes","No"))</f>
        <v>No</v>
      </c>
      <c r="AH87" s="30" t="n">
        <f aca="false">INT('District Data'!O87*ConvRate)</f>
        <v>8</v>
      </c>
      <c r="AI87" s="27" t="n">
        <f aca="false">MIN(U87,AH87)</f>
        <v>0</v>
      </c>
      <c r="AJ87" s="7" t="str">
        <f aca="false">IF(U87=0,"No expansion",IF(AH87&lt;U87,"Supply constrained (not enough shops)","Demand constrained (enough shops)"))</f>
        <v>No expansion</v>
      </c>
      <c r="AK87" s="30" t="n">
        <f aca="false">IF(AG87="Yes",AI87,0)</f>
        <v>0</v>
      </c>
      <c r="AL87" s="26" t="n">
        <f aca="false">IF(AG87="Yes",IF(Budget1&gt;=ShortlistFinal,AK87,AK87/ShortlistFinal*Budget1),0)</f>
        <v>0</v>
      </c>
      <c r="AM87" s="30" t="n">
        <f aca="false">INT(AL87)</f>
        <v>0</v>
      </c>
      <c r="AN87" s="26" t="n">
        <f aca="false">IF(AND(AG87="Yes",Budget1&lt;ShortlistFinal),AL87-AM87,-1)</f>
        <v>-1</v>
      </c>
      <c r="AO87" s="27" t="n">
        <f aca="false">IF(AG87&lt;&gt;"Yes",0,IF(Budget1&gt;=ShortlistFinal,AK87,AM87+IF(COUNTIFS($AN$5:$AN$119,"&gt;"&amp;AN87)+COUNTIFS($AN$5:$AN$119,AN87,$AF$5:$AF$119,"&lt;"&amp;AF87)&lt;Budget1-SUM($AM$5:$AM$119),1,0)))</f>
        <v>0</v>
      </c>
      <c r="AP87" s="26" t="n">
        <f aca="false">IF(AG87="Yes",IF(Budget2&gt;=ShortlistFinal,AK87,AK87/ShortlistFinal*Budget2),0)</f>
        <v>0</v>
      </c>
      <c r="AQ87" s="30" t="n">
        <f aca="false">INT(AP87)</f>
        <v>0</v>
      </c>
      <c r="AR87" s="26" t="n">
        <f aca="false">IF(AND(AG87="Yes",Budget2&lt;ShortlistFinal),AP87-AQ87,-1)</f>
        <v>-1</v>
      </c>
      <c r="AS87" s="27" t="n">
        <f aca="false">IF(AG87&lt;&gt;"Yes",0,IF(Budget2&gt;=ShortlistFinal,AK87,AQ87+IF(COUNTIFS($AR$5:$AR$119,"&gt;"&amp;AR87)+COUNTIFS($AR$5:$AR$119,AR87,$AF$5:$AF$119,"&lt;"&amp;AF87)&lt;Budget2-SUM($AQ$5:$AQ$119),1,0)))</f>
        <v>0</v>
      </c>
      <c r="AT87" s="26" t="n">
        <f aca="false">AK87*Share2025</f>
        <v>0</v>
      </c>
      <c r="AU87" s="26" t="n">
        <f aca="false">AK87*Share2026</f>
        <v>0</v>
      </c>
      <c r="AV87" s="26" t="n">
        <f aca="false">AK87*Share2027</f>
        <v>0</v>
      </c>
      <c r="AW87" s="31" t="n">
        <f aca="false">INT(AT87)</f>
        <v>0</v>
      </c>
      <c r="AX87" s="31" t="n">
        <f aca="false">INT(AU87)</f>
        <v>0</v>
      </c>
      <c r="AY87" s="31" t="n">
        <f aca="false">INT(AV87)</f>
        <v>0</v>
      </c>
      <c r="AZ87" s="26" t="n">
        <f aca="false">AT87-AW87</f>
        <v>0</v>
      </c>
      <c r="BA87" s="26" t="n">
        <f aca="false">AU87-AX87</f>
        <v>0</v>
      </c>
      <c r="BB87" s="26" t="n">
        <f aca="false">AV87-AY87</f>
        <v>0</v>
      </c>
      <c r="BC87" s="31" t="n">
        <f aca="false">AK87-AW87-AX87-AY87</f>
        <v>0</v>
      </c>
      <c r="BD87" s="27" t="n">
        <f aca="false">AW87+IF((BA87&gt;AZ87)+(BB87&gt;AZ87)&lt;BC87,1,0)</f>
        <v>0</v>
      </c>
      <c r="BE87" s="27" t="n">
        <f aca="false">AX87+IF((AZ87&gt;BA87)+(BB87&gt;BA87)+(AZ87=BA87)&lt;BC87,1,0)</f>
        <v>0</v>
      </c>
      <c r="BF87" s="27" t="n">
        <f aca="false">AY87+IF((AZ87&gt;BB87)+(BA87&gt;BB87)+(AZ87=BB87)+(BA87=BB87)&lt;BC87,1,0)</f>
        <v>0</v>
      </c>
    </row>
    <row r="88" customFormat="false" ht="15" hidden="false" customHeight="false" outlineLevel="0" collapsed="false">
      <c r="A88" s="22" t="str">
        <f aca="false">'District Data'!A88</f>
        <v>Peshawar</v>
      </c>
      <c r="B88" s="22" t="str">
        <f aca="false">'District Data'!C88</f>
        <v>Peshawar Region</v>
      </c>
      <c r="C88" s="22" t="str">
        <f aca="false">'District Data'!D88</f>
        <v>Stronghold</v>
      </c>
      <c r="D88" s="23" t="n">
        <f aca="false">ROUND('District Data'!E88*'District Data'!F88,0)</f>
        <v>1822363</v>
      </c>
      <c r="E88" s="23" t="n">
        <f aca="false">'District Data'!I88</f>
        <v>748</v>
      </c>
      <c r="F88" s="23" t="n">
        <f aca="false">'District Data'!L88</f>
        <v>785425.1</v>
      </c>
      <c r="G88" s="24" t="n">
        <f aca="false">IFERROR(F88/(E88*Weeks),0)</f>
        <v>20.1929530028795</v>
      </c>
      <c r="H88" s="25" t="n">
        <f aca="false">IFERROR('District Data'!N88/('District Data'!M88*Weeks),0)</f>
        <v>6.78241088180113</v>
      </c>
      <c r="I88" s="24" t="n">
        <f aca="false">IFERROR(SUMIFS('District Data'!$N$5:$N$119,'District Data'!$C$5:$C$119,B88)/(SUMIFS('District Data'!$M$5:$M$119,'District Data'!$C$5:$C$119,B88)*Weeks),0)</f>
        <v>7.60397053195561</v>
      </c>
      <c r="J88" s="24" t="n">
        <f aca="false">IF(TPBasis="NI TP",IF(H88&gt;0,H88,I88),G88)</f>
        <v>6.78241088180113</v>
      </c>
      <c r="K88" s="26" t="n">
        <f aca="false">IFERROR(F88/D88,0)</f>
        <v>0.430992672700225</v>
      </c>
      <c r="L88" s="27" t="n">
        <f aca="false">IFERROR(D88/E88,0)</f>
        <v>2436.31417112299</v>
      </c>
      <c r="M88" s="28" t="n">
        <f aca="false">IFERROR('District Data'!L88/'District Data'!K88-1,0)</f>
        <v>0.0215050239299479</v>
      </c>
      <c r="N88" s="28" t="n">
        <f aca="false">IFERROR(('District Data'!L88/'District Data'!J88)^(1/2)-1,0)</f>
        <v>0.0283124496518949</v>
      </c>
      <c r="O88" s="28" t="n">
        <f aca="false">IFERROR('District Data'!I88/'District Data'!H88-1,0)</f>
        <v>0.0983847283406756</v>
      </c>
      <c r="P88" s="7" t="str">
        <f aca="false">IF(K88&gt;=PCC_L1,"Layer 01",IF(K88&gt;=PCC_L2,"Layer 02",IF(K88&gt;=PCC_L3,"Layer 03",IF(K88&gt;=PCC_L4,"Layer 04","Layer 05"))))</f>
        <v>Layer 04</v>
      </c>
      <c r="Q88" s="7" t="str">
        <f aca="false">IF(L88&gt;=PPO_L1,"Layer 01",IF(L88&gt;=PPO_L2,"Layer 02",IF(L88&gt;=PPO_L3,"Layer 03",IF(L88&gt;=PPO_L4,"Layer 04","Layer 05"))))</f>
        <v>Layer 04</v>
      </c>
      <c r="R88" s="29" t="n">
        <f aca="false">D88/IdealPPO-E88</f>
        <v>1681.81733333333</v>
      </c>
      <c r="S88" s="29" t="n">
        <f aca="false">IdealTP*Weeks-(Weeks*J88+FirstFill)</f>
        <v>347.314634146341</v>
      </c>
      <c r="T88" s="29" t="n">
        <f aca="false">IF(S88&gt;0,(F88-IdealTP*Weeks*E88)/S88,1000000000000)</f>
        <v>581.562307319574</v>
      </c>
      <c r="U88" s="27" t="n">
        <f aca="false">IF(E88&lt;=0,0,IF(G88&lt;=IdealTP,0,IF(L88&lt;=IdealPPO,0,INT(MIN(T88,R88)+0.000000001))))</f>
        <v>581</v>
      </c>
      <c r="V88" s="7" t="str">
        <f aca="false">IF(E88&lt;=0,"No current outlets",IF(G88&lt;=IdealTP,"TP already at or below ideal",IF(L88&lt;=IdealPPO,"PPO already at or below ideal",IF(T88&lt;=R88,"Stopped by TP reaching ideal","Stopped by PPO reaching ideal"))))</f>
        <v>Stopped by TP reaching ideal</v>
      </c>
      <c r="W88" s="30" t="n">
        <f aca="false">F88+U88*(Weeks*J88+FirstFill)</f>
        <v>1036815.29756098</v>
      </c>
      <c r="X88" s="30" t="n">
        <f aca="false">E88+U88</f>
        <v>1329</v>
      </c>
      <c r="Y88" s="24" t="n">
        <f aca="false">IFERROR(W88/(X88*Weeks),0)</f>
        <v>15.0028259761674</v>
      </c>
      <c r="Z88" s="30" t="n">
        <f aca="false">IFERROR(D88/X88,0)</f>
        <v>1371.2287434161</v>
      </c>
      <c r="AA88" s="7" t="str">
        <f aca="false">IF(AND(K88&gt;=NationalPCC,L88&gt;IdealPPO),"Q1: High PCC, High PPO",IF(K88&gt;=NationalPCC,"Q2: High PCC, Low PPO",IF(L88&gt;IdealPPO,"Q3: Low PCC, High PPO","Q4: Low PCC, Low PPO")))</f>
        <v>Q3: Low PCC, High PPO</v>
      </c>
      <c r="AB88" s="7" t="str">
        <f aca="false">IF(K88&gt;=NationalPCC,IF(L88&gt;IdealPPO,"Phase 1","Phase 2"),"Phase 3")</f>
        <v>Phase 3</v>
      </c>
      <c r="AC88" s="7" t="str">
        <f aca="false">IF(AND(G88&gt;IdealTP,L88&gt;IdealPPO),"High TP, High PPO",IF(G88&gt;IdealTP,"High TP, Low PPO",IF(L88&gt;IdealPPO,"Low TP, High PPO","Low TP, Low PPO")))</f>
        <v>High TP, High PPO</v>
      </c>
      <c r="AD88" s="31" t="n">
        <f aca="false">INDEX(WaveNumbers,MATCH(C88,WaveNames,0))</f>
        <v>1</v>
      </c>
      <c r="AE88" s="32" t="n">
        <f aca="false">IF(U88&gt;0,AD88*10000000+VALUE(RIGHT(AB88,1))*1000000+(1000000-U88)+ROW()/1000000,"")</f>
        <v>13999419.000088</v>
      </c>
      <c r="AF88" s="31" t="n">
        <f aca="false">IF(U88&gt;0,COUNTIFS($AE$5:$AE$119,"&lt;"&amp;AE88)+1,"")</f>
        <v>8</v>
      </c>
      <c r="AG88" s="7" t="str">
        <f aca="false">IF(AF88="","No",IF(AF88&lt;=TopN,"Yes","No"))</f>
        <v>Yes</v>
      </c>
      <c r="AH88" s="30" t="n">
        <f aca="false">INT('District Data'!O88*ConvRate)</f>
        <v>239</v>
      </c>
      <c r="AI88" s="27" t="n">
        <f aca="false">MIN(U88,AH88)</f>
        <v>239</v>
      </c>
      <c r="AJ88" s="7" t="str">
        <f aca="false">IF(U88=0,"No expansion",IF(AH88&lt;U88,"Supply constrained (not enough shops)","Demand constrained (enough shops)"))</f>
        <v>Supply constrained (not enough shops)</v>
      </c>
      <c r="AK88" s="30" t="n">
        <f aca="false">IF(AG88="Yes",AI88,0)</f>
        <v>239</v>
      </c>
      <c r="AL88" s="26" t="n">
        <f aca="false">IF(AG88="Yes",IF(Budget1&gt;=ShortlistFinal,AK88,AK88/ShortlistFinal*Budget1),0)</f>
        <v>141.315594974132</v>
      </c>
      <c r="AM88" s="30" t="n">
        <f aca="false">INT(AL88)</f>
        <v>141</v>
      </c>
      <c r="AN88" s="26" t="n">
        <f aca="false">IF(AND(AG88="Yes",Budget1&lt;ShortlistFinal),AL88-AM88,-1)</f>
        <v>0.315594974131557</v>
      </c>
      <c r="AO88" s="27" t="n">
        <f aca="false">IF(AG88&lt;&gt;"Yes",0,IF(Budget1&gt;=ShortlistFinal,AK88,AM88+IF(COUNTIFS($AN$5:$AN$119,"&gt;"&amp;AN88)+COUNTIFS($AN$5:$AN$119,AN88,$AF$5:$AF$119,"&lt;"&amp;AF88)&lt;Budget1-SUM($AM$5:$AM$119),1,0)))</f>
        <v>141</v>
      </c>
      <c r="AP88" s="26" t="n">
        <f aca="false">IF(AG88="Yes",IF(Budget2&gt;=ShortlistFinal,AK88,AK88/ShortlistFinal*Budget2),0)</f>
        <v>211.973392461197</v>
      </c>
      <c r="AQ88" s="30" t="n">
        <f aca="false">INT(AP88)</f>
        <v>211</v>
      </c>
      <c r="AR88" s="26" t="n">
        <f aca="false">IF(AND(AG88="Yes",Budget2&lt;ShortlistFinal),AP88-AQ88,-1)</f>
        <v>0.973392461197363</v>
      </c>
      <c r="AS88" s="27" t="n">
        <f aca="false">IF(AG88&lt;&gt;"Yes",0,IF(Budget2&gt;=ShortlistFinal,AK88,AQ88+IF(COUNTIFS($AR$5:$AR$119,"&gt;"&amp;AR88)+COUNTIFS($AR$5:$AR$119,AR88,$AF$5:$AF$119,"&lt;"&amp;AF88)&lt;Budget2-SUM($AQ$5:$AQ$119),1,0)))</f>
        <v>212</v>
      </c>
      <c r="AT88" s="26" t="n">
        <f aca="false">AK88*Share2025</f>
        <v>84.3529411764706</v>
      </c>
      <c r="AU88" s="26" t="n">
        <f aca="false">AK88*Share2026</f>
        <v>84.3529411764706</v>
      </c>
      <c r="AV88" s="26" t="n">
        <f aca="false">AK88*Share2027</f>
        <v>70.2941176470588</v>
      </c>
      <c r="AW88" s="31" t="n">
        <f aca="false">INT(AT88)</f>
        <v>84</v>
      </c>
      <c r="AX88" s="31" t="n">
        <f aca="false">INT(AU88)</f>
        <v>84</v>
      </c>
      <c r="AY88" s="31" t="n">
        <f aca="false">INT(AV88)</f>
        <v>70</v>
      </c>
      <c r="AZ88" s="26" t="n">
        <f aca="false">AT88-AW88</f>
        <v>0.352941176470608</v>
      </c>
      <c r="BA88" s="26" t="n">
        <f aca="false">AU88-AX88</f>
        <v>0.352941176470608</v>
      </c>
      <c r="BB88" s="26" t="n">
        <f aca="false">AV88-AY88</f>
        <v>0.294117647058812</v>
      </c>
      <c r="BC88" s="31" t="n">
        <f aca="false">AK88-AW88-AX88-AY88</f>
        <v>1</v>
      </c>
      <c r="BD88" s="27" t="n">
        <f aca="false">AW88+IF((BA88&gt;AZ88)+(BB88&gt;AZ88)&lt;BC88,1,0)</f>
        <v>85</v>
      </c>
      <c r="BE88" s="27" t="n">
        <f aca="false">AX88+IF((AZ88&gt;BA88)+(BB88&gt;BA88)+(AZ88=BA88)&lt;BC88,1,0)</f>
        <v>84</v>
      </c>
      <c r="BF88" s="27" t="n">
        <f aca="false">AY88+IF((AZ88&gt;BB88)+(BA88&gt;BB88)+(AZ88=BB88)+(BA88=BB88)&lt;BC88,1,0)</f>
        <v>70</v>
      </c>
    </row>
    <row r="89" customFormat="false" ht="15" hidden="false" customHeight="false" outlineLevel="0" collapsed="false">
      <c r="A89" s="22" t="str">
        <f aca="false">'District Data'!A89</f>
        <v>Pishin</v>
      </c>
      <c r="B89" s="22" t="str">
        <f aca="false">'District Data'!C89</f>
        <v>Multan Region</v>
      </c>
      <c r="C89" s="22" t="str">
        <f aca="false">'District Data'!D89</f>
        <v>Rest</v>
      </c>
      <c r="D89" s="23" t="n">
        <f aca="false">ROUND('District Data'!E89*'District Data'!F89,0)</f>
        <v>277274</v>
      </c>
      <c r="E89" s="23" t="n">
        <f aca="false">'District Data'!I89</f>
        <v>18</v>
      </c>
      <c r="F89" s="23" t="n">
        <f aca="false">'District Data'!L89</f>
        <v>9294.3</v>
      </c>
      <c r="G89" s="24" t="n">
        <f aca="false">IFERROR(F89/(E89*Weeks),0)</f>
        <v>9.92980769230769</v>
      </c>
      <c r="H89" s="25" t="n">
        <f aca="false">IFERROR('District Data'!N89/('District Data'!M89*Weeks),0)</f>
        <v>5.52461538461539</v>
      </c>
      <c r="I89" s="24" t="n">
        <f aca="false">IFERROR(SUMIFS('District Data'!$N$5:$N$119,'District Data'!$C$5:$C$119,B89)/(SUMIFS('District Data'!$M$5:$M$119,'District Data'!$C$5:$C$119,B89)*Weeks),0)</f>
        <v>8.16663285109386</v>
      </c>
      <c r="J89" s="24" t="n">
        <f aca="false">IF(TPBasis="NI TP",IF(H89&gt;0,H89,I89),G89)</f>
        <v>5.52461538461539</v>
      </c>
      <c r="K89" s="26" t="n">
        <f aca="false">IFERROR(F89/D89,0)</f>
        <v>0.0335202723659629</v>
      </c>
      <c r="L89" s="27" t="n">
        <f aca="false">IFERROR(D89/E89,0)</f>
        <v>15404.1111111111</v>
      </c>
      <c r="M89" s="28" t="n">
        <f aca="false">IFERROR('District Data'!L89/'District Data'!K89-1,0)</f>
        <v>0.143379096545615</v>
      </c>
      <c r="N89" s="28" t="n">
        <f aca="false">IFERROR(('District Data'!L89/'District Data'!J89)^(1/2)-1,0)</f>
        <v>0.0172249007130256</v>
      </c>
      <c r="O89" s="28" t="n">
        <f aca="false">IFERROR('District Data'!I89/'District Data'!H89-1,0)</f>
        <v>0.384615384615385</v>
      </c>
      <c r="P89" s="7" t="str">
        <f aca="false">IF(K89&gt;=PCC_L1,"Layer 01",IF(K89&gt;=PCC_L2,"Layer 02",IF(K89&gt;=PCC_L3,"Layer 03",IF(K89&gt;=PCC_L4,"Layer 04","Layer 05"))))</f>
        <v>Layer 05</v>
      </c>
      <c r="Q89" s="7" t="str">
        <f aca="false">IF(L89&gt;=PPO_L1,"Layer 01",IF(L89&gt;=PPO_L2,"Layer 02",IF(L89&gt;=PPO_L3,"Layer 03",IF(L89&gt;=PPO_L4,"Layer 04","Layer 05"))))</f>
        <v>Layer 02</v>
      </c>
      <c r="R89" s="29" t="n">
        <f aca="false">D89/IdealPPO-E89</f>
        <v>351.698666666667</v>
      </c>
      <c r="S89" s="29" t="n">
        <f aca="false">IdealTP*Weeks-(Weeks*J89+FirstFill)</f>
        <v>412.72</v>
      </c>
      <c r="T89" s="29" t="n">
        <f aca="false">IF(S89&gt;0,(F89-IdealTP*Weeks*E89)/S89,1000000000000)</f>
        <v>-11.4985946888932</v>
      </c>
      <c r="U89" s="27" t="n">
        <f aca="false">IF(E89&lt;=0,0,IF(G89&lt;=IdealTP,0,IF(L89&lt;=IdealPPO,0,INT(MIN(T89,R89)+0.000000001))))</f>
        <v>0</v>
      </c>
      <c r="V89" s="7" t="str">
        <f aca="false">IF(E89&lt;=0,"No current outlets",IF(G89&lt;=IdealTP,"TP already at or below ideal",IF(L89&lt;=IdealPPO,"PPO already at or below ideal",IF(T89&lt;=R89,"Stopped by TP reaching ideal","Stopped by PPO reaching ideal"))))</f>
        <v>TP already at or below ideal</v>
      </c>
      <c r="W89" s="30" t="n">
        <f aca="false">F89+U89*(Weeks*J89+FirstFill)</f>
        <v>9294.3</v>
      </c>
      <c r="X89" s="30" t="n">
        <f aca="false">E89+U89</f>
        <v>18</v>
      </c>
      <c r="Y89" s="24" t="n">
        <f aca="false">IFERROR(W89/(X89*Weeks),0)</f>
        <v>9.92980769230769</v>
      </c>
      <c r="Z89" s="30" t="n">
        <f aca="false">IFERROR(D89/X89,0)</f>
        <v>15404.1111111111</v>
      </c>
      <c r="AA89" s="7" t="str">
        <f aca="false">IF(AND(K89&gt;=NationalPCC,L89&gt;IdealPPO),"Q1: High PCC, High PPO",IF(K89&gt;=NationalPCC,"Q2: High PCC, Low PPO",IF(L89&gt;IdealPPO,"Q3: Low PCC, High PPO","Q4: Low PCC, Low PPO")))</f>
        <v>Q3: Low PCC, High PPO</v>
      </c>
      <c r="AB89" s="7" t="str">
        <f aca="false">IF(K89&gt;=NationalPCC,IF(L89&gt;IdealPPO,"Phase 1","Phase 2"),"Phase 3")</f>
        <v>Phase 3</v>
      </c>
      <c r="AC89" s="7" t="str">
        <f aca="false">IF(AND(G89&gt;IdealTP,L89&gt;IdealPPO),"High TP, High PPO",IF(G89&gt;IdealTP,"High TP, Low PPO",IF(L89&gt;IdealPPO,"Low TP, High PPO","Low TP, Low PPO")))</f>
        <v>Low TP, High PPO</v>
      </c>
      <c r="AD89" s="31" t="n">
        <f aca="false">INDEX(WaveNumbers,MATCH(C89,WaveNames,0))</f>
        <v>4</v>
      </c>
      <c r="AE89" s="32" t="str">
        <f aca="false">IF(U89&gt;0,AD89*10000000+VALUE(RIGHT(AB89,1))*1000000+(1000000-U89)+ROW()/1000000,"")</f>
        <v/>
      </c>
      <c r="AF89" s="31" t="str">
        <f aca="false">IF(U89&gt;0,COUNTIFS($AE$5:$AE$119,"&lt;"&amp;AE89)+1,"")</f>
        <v/>
      </c>
      <c r="AG89" s="7" t="str">
        <f aca="false">IF(AF89="","No",IF(AF89&lt;=TopN,"Yes","No"))</f>
        <v>No</v>
      </c>
      <c r="AH89" s="30" t="n">
        <f aca="false">INT('District Data'!O89*ConvRate)</f>
        <v>47</v>
      </c>
      <c r="AI89" s="27" t="n">
        <f aca="false">MIN(U89,AH89)</f>
        <v>0</v>
      </c>
      <c r="AJ89" s="7" t="str">
        <f aca="false">IF(U89=0,"No expansion",IF(AH89&lt;U89,"Supply constrained (not enough shops)","Demand constrained (enough shops)"))</f>
        <v>No expansion</v>
      </c>
      <c r="AK89" s="30" t="n">
        <f aca="false">IF(AG89="Yes",AI89,0)</f>
        <v>0</v>
      </c>
      <c r="AL89" s="26" t="n">
        <f aca="false">IF(AG89="Yes",IF(Budget1&gt;=ShortlistFinal,AK89,AK89/ShortlistFinal*Budget1),0)</f>
        <v>0</v>
      </c>
      <c r="AM89" s="30" t="n">
        <f aca="false">INT(AL89)</f>
        <v>0</v>
      </c>
      <c r="AN89" s="26" t="n">
        <f aca="false">IF(AND(AG89="Yes",Budget1&lt;ShortlistFinal),AL89-AM89,-1)</f>
        <v>-1</v>
      </c>
      <c r="AO89" s="27" t="n">
        <f aca="false">IF(AG89&lt;&gt;"Yes",0,IF(Budget1&gt;=ShortlistFinal,AK89,AM89+IF(COUNTIFS($AN$5:$AN$119,"&gt;"&amp;AN89)+COUNTIFS($AN$5:$AN$119,AN89,$AF$5:$AF$119,"&lt;"&amp;AF89)&lt;Budget1-SUM($AM$5:$AM$119),1,0)))</f>
        <v>0</v>
      </c>
      <c r="AP89" s="26" t="n">
        <f aca="false">IF(AG89="Yes",IF(Budget2&gt;=ShortlistFinal,AK89,AK89/ShortlistFinal*Budget2),0)</f>
        <v>0</v>
      </c>
      <c r="AQ89" s="30" t="n">
        <f aca="false">INT(AP89)</f>
        <v>0</v>
      </c>
      <c r="AR89" s="26" t="n">
        <f aca="false">IF(AND(AG89="Yes",Budget2&lt;ShortlistFinal),AP89-AQ89,-1)</f>
        <v>-1</v>
      </c>
      <c r="AS89" s="27" t="n">
        <f aca="false">IF(AG89&lt;&gt;"Yes",0,IF(Budget2&gt;=ShortlistFinal,AK89,AQ89+IF(COUNTIFS($AR$5:$AR$119,"&gt;"&amp;AR89)+COUNTIFS($AR$5:$AR$119,AR89,$AF$5:$AF$119,"&lt;"&amp;AF89)&lt;Budget2-SUM($AQ$5:$AQ$119),1,0)))</f>
        <v>0</v>
      </c>
      <c r="AT89" s="26" t="n">
        <f aca="false">AK89*Share2025</f>
        <v>0</v>
      </c>
      <c r="AU89" s="26" t="n">
        <f aca="false">AK89*Share2026</f>
        <v>0</v>
      </c>
      <c r="AV89" s="26" t="n">
        <f aca="false">AK89*Share2027</f>
        <v>0</v>
      </c>
      <c r="AW89" s="31" t="n">
        <f aca="false">INT(AT89)</f>
        <v>0</v>
      </c>
      <c r="AX89" s="31" t="n">
        <f aca="false">INT(AU89)</f>
        <v>0</v>
      </c>
      <c r="AY89" s="31" t="n">
        <f aca="false">INT(AV89)</f>
        <v>0</v>
      </c>
      <c r="AZ89" s="26" t="n">
        <f aca="false">AT89-AW89</f>
        <v>0</v>
      </c>
      <c r="BA89" s="26" t="n">
        <f aca="false">AU89-AX89</f>
        <v>0</v>
      </c>
      <c r="BB89" s="26" t="n">
        <f aca="false">AV89-AY89</f>
        <v>0</v>
      </c>
      <c r="BC89" s="31" t="n">
        <f aca="false">AK89-AW89-AX89-AY89</f>
        <v>0</v>
      </c>
      <c r="BD89" s="27" t="n">
        <f aca="false">AW89+IF((BA89&gt;AZ89)+(BB89&gt;AZ89)&lt;BC89,1,0)</f>
        <v>0</v>
      </c>
      <c r="BE89" s="27" t="n">
        <f aca="false">AX89+IF((AZ89&gt;BA89)+(BB89&gt;BA89)+(AZ89=BA89)&lt;BC89,1,0)</f>
        <v>0</v>
      </c>
      <c r="BF89" s="27" t="n">
        <f aca="false">AY89+IF((AZ89&gt;BB89)+(BA89&gt;BB89)+(AZ89=BB89)+(BA89=BB89)&lt;BC89,1,0)</f>
        <v>0</v>
      </c>
    </row>
    <row r="90" customFormat="false" ht="15" hidden="false" customHeight="false" outlineLevel="0" collapsed="false">
      <c r="A90" s="22" t="str">
        <f aca="false">'District Data'!A90</f>
        <v>Qambar Shahdadkot</v>
      </c>
      <c r="B90" s="22" t="str">
        <f aca="false">'District Data'!C90</f>
        <v>Karachi Region</v>
      </c>
      <c r="C90" s="22" t="str">
        <f aca="false">'District Data'!D90</f>
        <v>Population High</v>
      </c>
      <c r="D90" s="23" t="n">
        <f aca="false">ROUND('District Data'!E90*'District Data'!F90,0)</f>
        <v>1405610</v>
      </c>
      <c r="E90" s="23" t="n">
        <f aca="false">'District Data'!I90</f>
        <v>119</v>
      </c>
      <c r="F90" s="23" t="n">
        <f aca="false">'District Data'!L90</f>
        <v>81732.9</v>
      </c>
      <c r="G90" s="24" t="n">
        <f aca="false">IFERROR(F90/(E90*Weeks),0)</f>
        <v>13.2082902391726</v>
      </c>
      <c r="H90" s="25" t="n">
        <f aca="false">IFERROR('District Data'!N90/('District Data'!M90*Weeks),0)</f>
        <v>6.33669871794872</v>
      </c>
      <c r="I90" s="24" t="n">
        <f aca="false">IFERROR(SUMIFS('District Data'!$N$5:$N$119,'District Data'!$C$5:$C$119,B90)/(SUMIFS('District Data'!$M$5:$M$119,'District Data'!$C$5:$C$119,B90)*Weeks),0)</f>
        <v>12.952446872194</v>
      </c>
      <c r="J90" s="24" t="n">
        <f aca="false">IF(TPBasis="NI TP",IF(H90&gt;0,H90,I90),G90)</f>
        <v>6.33669871794872</v>
      </c>
      <c r="K90" s="26" t="n">
        <f aca="false">IFERROR(F90/D90,0)</f>
        <v>0.0581476369690028</v>
      </c>
      <c r="L90" s="27" t="n">
        <f aca="false">IFERROR(D90/E90,0)</f>
        <v>11811.8487394958</v>
      </c>
      <c r="M90" s="28" t="n">
        <f aca="false">IFERROR('District Data'!L90/'District Data'!K90-1,0)</f>
        <v>-0.00812717074461256</v>
      </c>
      <c r="N90" s="28" t="n">
        <f aca="false">IFERROR(('District Data'!L90/'District Data'!J90)^(1/2)-1,0)</f>
        <v>0.0116721240426017</v>
      </c>
      <c r="O90" s="28" t="n">
        <f aca="false">IFERROR('District Data'!I90/'District Data'!H90-1,0)</f>
        <v>0.0818181818181818</v>
      </c>
      <c r="P90" s="7" t="str">
        <f aca="false">IF(K90&gt;=PCC_L1,"Layer 01",IF(K90&gt;=PCC_L2,"Layer 02",IF(K90&gt;=PCC_L3,"Layer 03",IF(K90&gt;=PCC_L4,"Layer 04","Layer 05"))))</f>
        <v>Layer 05</v>
      </c>
      <c r="Q90" s="7" t="str">
        <f aca="false">IF(L90&gt;=PPO_L1,"Layer 01",IF(L90&gt;=PPO_L2,"Layer 02",IF(L90&gt;=PPO_L3,"Layer 03",IF(L90&gt;=PPO_L4,"Layer 04","Layer 05"))))</f>
        <v>Layer 03</v>
      </c>
      <c r="R90" s="29" t="n">
        <f aca="false">D90/IdealPPO-E90</f>
        <v>1755.14666666667</v>
      </c>
      <c r="S90" s="29" t="n">
        <f aca="false">IdealTP*Weeks-(Weeks*J90+FirstFill)</f>
        <v>370.491666666667</v>
      </c>
      <c r="T90" s="29" t="n">
        <f aca="false">IF(S90&gt;0,(F90-IdealTP*Weeks*E90)/S90,1000000000000)</f>
        <v>-29.9253694415079</v>
      </c>
      <c r="U90" s="27" t="n">
        <f aca="false">IF(E90&lt;=0,0,IF(G90&lt;=IdealTP,0,IF(L90&lt;=IdealPPO,0,INT(MIN(T90,R90)+0.000000001))))</f>
        <v>0</v>
      </c>
      <c r="V90" s="7" t="str">
        <f aca="false">IF(E90&lt;=0,"No current outlets",IF(G90&lt;=IdealTP,"TP already at or below ideal",IF(L90&lt;=IdealPPO,"PPO already at or below ideal",IF(T90&lt;=R90,"Stopped by TP reaching ideal","Stopped by PPO reaching ideal"))))</f>
        <v>TP already at or below ideal</v>
      </c>
      <c r="W90" s="30" t="n">
        <f aca="false">F90+U90*(Weeks*J90+FirstFill)</f>
        <v>81732.9</v>
      </c>
      <c r="X90" s="30" t="n">
        <f aca="false">E90+U90</f>
        <v>119</v>
      </c>
      <c r="Y90" s="24" t="n">
        <f aca="false">IFERROR(W90/(X90*Weeks),0)</f>
        <v>13.2082902391726</v>
      </c>
      <c r="Z90" s="30" t="n">
        <f aca="false">IFERROR(D90/X90,0)</f>
        <v>11811.8487394958</v>
      </c>
      <c r="AA90" s="7" t="str">
        <f aca="false">IF(AND(K90&gt;=NationalPCC,L90&gt;IdealPPO),"Q1: High PCC, High PPO",IF(K90&gt;=NationalPCC,"Q2: High PCC, Low PPO",IF(L90&gt;IdealPPO,"Q3: Low PCC, High PPO","Q4: Low PCC, Low PPO")))</f>
        <v>Q3: Low PCC, High PPO</v>
      </c>
      <c r="AB90" s="7" t="str">
        <f aca="false">IF(K90&gt;=NationalPCC,IF(L90&gt;IdealPPO,"Phase 1","Phase 2"),"Phase 3")</f>
        <v>Phase 3</v>
      </c>
      <c r="AC90" s="7" t="str">
        <f aca="false">IF(AND(G90&gt;IdealTP,L90&gt;IdealPPO),"High TP, High PPO",IF(G90&gt;IdealTP,"High TP, Low PPO",IF(L90&gt;IdealPPO,"Low TP, High PPO","Low TP, Low PPO")))</f>
        <v>Low TP, High PPO</v>
      </c>
      <c r="AD90" s="31" t="n">
        <f aca="false">INDEX(WaveNumbers,MATCH(C90,WaveNames,0))</f>
        <v>3</v>
      </c>
      <c r="AE90" s="32" t="str">
        <f aca="false">IF(U90&gt;0,AD90*10000000+VALUE(RIGHT(AB90,1))*1000000+(1000000-U90)+ROW()/1000000,"")</f>
        <v/>
      </c>
      <c r="AF90" s="31" t="str">
        <f aca="false">IF(U90&gt;0,COUNTIFS($AE$5:$AE$119,"&lt;"&amp;AE90)+1,"")</f>
        <v/>
      </c>
      <c r="AG90" s="7" t="str">
        <f aca="false">IF(AF90="","No",IF(AF90&lt;=TopN,"Yes","No"))</f>
        <v>No</v>
      </c>
      <c r="AH90" s="30" t="n">
        <f aca="false">INT('District Data'!O90*ConvRate)</f>
        <v>91</v>
      </c>
      <c r="AI90" s="27" t="n">
        <f aca="false">MIN(U90,AH90)</f>
        <v>0</v>
      </c>
      <c r="AJ90" s="7" t="str">
        <f aca="false">IF(U90=0,"No expansion",IF(AH90&lt;U90,"Supply constrained (not enough shops)","Demand constrained (enough shops)"))</f>
        <v>No expansion</v>
      </c>
      <c r="AK90" s="30" t="n">
        <f aca="false">IF(AG90="Yes",AI90,0)</f>
        <v>0</v>
      </c>
      <c r="AL90" s="26" t="n">
        <f aca="false">IF(AG90="Yes",IF(Budget1&gt;=ShortlistFinal,AK90,AK90/ShortlistFinal*Budget1),0)</f>
        <v>0</v>
      </c>
      <c r="AM90" s="30" t="n">
        <f aca="false">INT(AL90)</f>
        <v>0</v>
      </c>
      <c r="AN90" s="26" t="n">
        <f aca="false">IF(AND(AG90="Yes",Budget1&lt;ShortlistFinal),AL90-AM90,-1)</f>
        <v>-1</v>
      </c>
      <c r="AO90" s="27" t="n">
        <f aca="false">IF(AG90&lt;&gt;"Yes",0,IF(Budget1&gt;=ShortlistFinal,AK90,AM90+IF(COUNTIFS($AN$5:$AN$119,"&gt;"&amp;AN90)+COUNTIFS($AN$5:$AN$119,AN90,$AF$5:$AF$119,"&lt;"&amp;AF90)&lt;Budget1-SUM($AM$5:$AM$119),1,0)))</f>
        <v>0</v>
      </c>
      <c r="AP90" s="26" t="n">
        <f aca="false">IF(AG90="Yes",IF(Budget2&gt;=ShortlistFinal,AK90,AK90/ShortlistFinal*Budget2),0)</f>
        <v>0</v>
      </c>
      <c r="AQ90" s="30" t="n">
        <f aca="false">INT(AP90)</f>
        <v>0</v>
      </c>
      <c r="AR90" s="26" t="n">
        <f aca="false">IF(AND(AG90="Yes",Budget2&lt;ShortlistFinal),AP90-AQ90,-1)</f>
        <v>-1</v>
      </c>
      <c r="AS90" s="27" t="n">
        <f aca="false">IF(AG90&lt;&gt;"Yes",0,IF(Budget2&gt;=ShortlistFinal,AK90,AQ90+IF(COUNTIFS($AR$5:$AR$119,"&gt;"&amp;AR90)+COUNTIFS($AR$5:$AR$119,AR90,$AF$5:$AF$119,"&lt;"&amp;AF90)&lt;Budget2-SUM($AQ$5:$AQ$119),1,0)))</f>
        <v>0</v>
      </c>
      <c r="AT90" s="26" t="n">
        <f aca="false">AK90*Share2025</f>
        <v>0</v>
      </c>
      <c r="AU90" s="26" t="n">
        <f aca="false">AK90*Share2026</f>
        <v>0</v>
      </c>
      <c r="AV90" s="26" t="n">
        <f aca="false">AK90*Share2027</f>
        <v>0</v>
      </c>
      <c r="AW90" s="31" t="n">
        <f aca="false">INT(AT90)</f>
        <v>0</v>
      </c>
      <c r="AX90" s="31" t="n">
        <f aca="false">INT(AU90)</f>
        <v>0</v>
      </c>
      <c r="AY90" s="31" t="n">
        <f aca="false">INT(AV90)</f>
        <v>0</v>
      </c>
      <c r="AZ90" s="26" t="n">
        <f aca="false">AT90-AW90</f>
        <v>0</v>
      </c>
      <c r="BA90" s="26" t="n">
        <f aca="false">AU90-AX90</f>
        <v>0</v>
      </c>
      <c r="BB90" s="26" t="n">
        <f aca="false">AV90-AY90</f>
        <v>0</v>
      </c>
      <c r="BC90" s="31" t="n">
        <f aca="false">AK90-AW90-AX90-AY90</f>
        <v>0</v>
      </c>
      <c r="BD90" s="27" t="n">
        <f aca="false">AW90+IF((BA90&gt;AZ90)+(BB90&gt;AZ90)&lt;BC90,1,0)</f>
        <v>0</v>
      </c>
      <c r="BE90" s="27" t="n">
        <f aca="false">AX90+IF((AZ90&gt;BA90)+(BB90&gt;BA90)+(AZ90=BA90)&lt;BC90,1,0)</f>
        <v>0</v>
      </c>
      <c r="BF90" s="27" t="n">
        <f aca="false">AY90+IF((AZ90&gt;BB90)+(BA90&gt;BB90)+(AZ90=BB90)+(BA90=BB90)&lt;BC90,1,0)</f>
        <v>0</v>
      </c>
    </row>
    <row r="91" customFormat="false" ht="15" hidden="false" customHeight="false" outlineLevel="0" collapsed="false">
      <c r="A91" s="22" t="str">
        <f aca="false">'District Data'!A91</f>
        <v>Qilla Abdullah</v>
      </c>
      <c r="B91" s="22" t="str">
        <f aca="false">'District Data'!C91</f>
        <v>Multan Region</v>
      </c>
      <c r="C91" s="22" t="str">
        <f aca="false">'District Data'!D91</f>
        <v>Rest</v>
      </c>
      <c r="D91" s="23" t="n">
        <f aca="false">ROUND('District Data'!E91*'District Data'!F91,0)</f>
        <v>218514</v>
      </c>
      <c r="E91" s="23" t="n">
        <f aca="false">'District Data'!I91</f>
        <v>13</v>
      </c>
      <c r="F91" s="23" t="n">
        <f aca="false">'District Data'!L91</f>
        <v>5989.5</v>
      </c>
      <c r="G91" s="24" t="n">
        <f aca="false">IFERROR(F91/(E91*Weeks),0)</f>
        <v>8.86020710059172</v>
      </c>
      <c r="H91" s="25" t="n">
        <f aca="false">IFERROR('District Data'!N91/('District Data'!M91*Weeks),0)</f>
        <v>3.81826923076923</v>
      </c>
      <c r="I91" s="24" t="n">
        <f aca="false">IFERROR(SUMIFS('District Data'!$N$5:$N$119,'District Data'!$C$5:$C$119,B91)/(SUMIFS('District Data'!$M$5:$M$119,'District Data'!$C$5:$C$119,B91)*Weeks),0)</f>
        <v>8.16663285109386</v>
      </c>
      <c r="J91" s="24" t="n">
        <f aca="false">IF(TPBasis="NI TP",IF(H91&gt;0,H91,I91),G91)</f>
        <v>3.81826923076923</v>
      </c>
      <c r="K91" s="26" t="n">
        <f aca="false">IFERROR(F91/D91,0)</f>
        <v>0.0274101430571954</v>
      </c>
      <c r="L91" s="27" t="n">
        <f aca="false">IFERROR(D91/E91,0)</f>
        <v>16808.7692307692</v>
      </c>
      <c r="M91" s="28" t="n">
        <f aca="false">IFERROR('District Data'!L91/'District Data'!K91-1,0)</f>
        <v>0.147809589513625</v>
      </c>
      <c r="N91" s="28" t="n">
        <f aca="false">IFERROR(('District Data'!L91/'District Data'!J91)^(1/2)-1,0)</f>
        <v>0.0158459218254705</v>
      </c>
      <c r="O91" s="28" t="n">
        <f aca="false">IFERROR('District Data'!I91/'District Data'!H91-1,0)</f>
        <v>0.181818181818182</v>
      </c>
      <c r="P91" s="7" t="str">
        <f aca="false">IF(K91&gt;=PCC_L1,"Layer 01",IF(K91&gt;=PCC_L2,"Layer 02",IF(K91&gt;=PCC_L3,"Layer 03",IF(K91&gt;=PCC_L4,"Layer 04","Layer 05"))))</f>
        <v>Layer 05</v>
      </c>
      <c r="Q91" s="7" t="str">
        <f aca="false">IF(L91&gt;=PPO_L1,"Layer 01",IF(L91&gt;=PPO_L2,"Layer 02",IF(L91&gt;=PPO_L3,"Layer 03",IF(L91&gt;=PPO_L4,"Layer 04","Layer 05"))))</f>
        <v>Layer 02</v>
      </c>
      <c r="R91" s="29" t="n">
        <f aca="false">D91/IdealPPO-E91</f>
        <v>278.352</v>
      </c>
      <c r="S91" s="29" t="n">
        <f aca="false">IdealTP*Weeks-(Weeks*J91+FirstFill)</f>
        <v>501.45</v>
      </c>
      <c r="T91" s="29" t="n">
        <f aca="false">IF(S91&gt;0,(F91-IdealTP*Weeks*E91)/S91,1000000000000)</f>
        <v>-8.27699670954233</v>
      </c>
      <c r="U91" s="27" t="n">
        <f aca="false">IF(E91&lt;=0,0,IF(G91&lt;=IdealTP,0,IF(L91&lt;=IdealPPO,0,INT(MIN(T91,R91)+0.000000001))))</f>
        <v>0</v>
      </c>
      <c r="V91" s="7" t="str">
        <f aca="false">IF(E91&lt;=0,"No current outlets",IF(G91&lt;=IdealTP,"TP already at or below ideal",IF(L91&lt;=IdealPPO,"PPO already at or below ideal",IF(T91&lt;=R91,"Stopped by TP reaching ideal","Stopped by PPO reaching ideal"))))</f>
        <v>TP already at or below ideal</v>
      </c>
      <c r="W91" s="30" t="n">
        <f aca="false">F91+U91*(Weeks*J91+FirstFill)</f>
        <v>5989.5</v>
      </c>
      <c r="X91" s="30" t="n">
        <f aca="false">E91+U91</f>
        <v>13</v>
      </c>
      <c r="Y91" s="24" t="n">
        <f aca="false">IFERROR(W91/(X91*Weeks),0)</f>
        <v>8.86020710059172</v>
      </c>
      <c r="Z91" s="30" t="n">
        <f aca="false">IFERROR(D91/X91,0)</f>
        <v>16808.7692307692</v>
      </c>
      <c r="AA91" s="7" t="str">
        <f aca="false">IF(AND(K91&gt;=NationalPCC,L91&gt;IdealPPO),"Q1: High PCC, High PPO",IF(K91&gt;=NationalPCC,"Q2: High PCC, Low PPO",IF(L91&gt;IdealPPO,"Q3: Low PCC, High PPO","Q4: Low PCC, Low PPO")))</f>
        <v>Q3: Low PCC, High PPO</v>
      </c>
      <c r="AB91" s="7" t="str">
        <f aca="false">IF(K91&gt;=NationalPCC,IF(L91&gt;IdealPPO,"Phase 1","Phase 2"),"Phase 3")</f>
        <v>Phase 3</v>
      </c>
      <c r="AC91" s="7" t="str">
        <f aca="false">IF(AND(G91&gt;IdealTP,L91&gt;IdealPPO),"High TP, High PPO",IF(G91&gt;IdealTP,"High TP, Low PPO",IF(L91&gt;IdealPPO,"Low TP, High PPO","Low TP, Low PPO")))</f>
        <v>Low TP, High PPO</v>
      </c>
      <c r="AD91" s="31" t="n">
        <f aca="false">INDEX(WaveNumbers,MATCH(C91,WaveNames,0))</f>
        <v>4</v>
      </c>
      <c r="AE91" s="32" t="str">
        <f aca="false">IF(U91&gt;0,AD91*10000000+VALUE(RIGHT(AB91,1))*1000000+(1000000-U91)+ROW()/1000000,"")</f>
        <v/>
      </c>
      <c r="AF91" s="31" t="str">
        <f aca="false">IF(U91&gt;0,COUNTIFS($AE$5:$AE$119,"&lt;"&amp;AE91)+1,"")</f>
        <v/>
      </c>
      <c r="AG91" s="7" t="str">
        <f aca="false">IF(AF91="","No",IF(AF91&lt;=TopN,"Yes","No"))</f>
        <v>No</v>
      </c>
      <c r="AH91" s="30" t="n">
        <f aca="false">INT('District Data'!O91*ConvRate)</f>
        <v>22</v>
      </c>
      <c r="AI91" s="27" t="n">
        <f aca="false">MIN(U91,AH91)</f>
        <v>0</v>
      </c>
      <c r="AJ91" s="7" t="str">
        <f aca="false">IF(U91=0,"No expansion",IF(AH91&lt;U91,"Supply constrained (not enough shops)","Demand constrained (enough shops)"))</f>
        <v>No expansion</v>
      </c>
      <c r="AK91" s="30" t="n">
        <f aca="false">IF(AG91="Yes",AI91,0)</f>
        <v>0</v>
      </c>
      <c r="AL91" s="26" t="n">
        <f aca="false">IF(AG91="Yes",IF(Budget1&gt;=ShortlistFinal,AK91,AK91/ShortlistFinal*Budget1),0)</f>
        <v>0</v>
      </c>
      <c r="AM91" s="30" t="n">
        <f aca="false">INT(AL91)</f>
        <v>0</v>
      </c>
      <c r="AN91" s="26" t="n">
        <f aca="false">IF(AND(AG91="Yes",Budget1&lt;ShortlistFinal),AL91-AM91,-1)</f>
        <v>-1</v>
      </c>
      <c r="AO91" s="27" t="n">
        <f aca="false">IF(AG91&lt;&gt;"Yes",0,IF(Budget1&gt;=ShortlistFinal,AK91,AM91+IF(COUNTIFS($AN$5:$AN$119,"&gt;"&amp;AN91)+COUNTIFS($AN$5:$AN$119,AN91,$AF$5:$AF$119,"&lt;"&amp;AF91)&lt;Budget1-SUM($AM$5:$AM$119),1,0)))</f>
        <v>0</v>
      </c>
      <c r="AP91" s="26" t="n">
        <f aca="false">IF(AG91="Yes",IF(Budget2&gt;=ShortlistFinal,AK91,AK91/ShortlistFinal*Budget2),0)</f>
        <v>0</v>
      </c>
      <c r="AQ91" s="30" t="n">
        <f aca="false">INT(AP91)</f>
        <v>0</v>
      </c>
      <c r="AR91" s="26" t="n">
        <f aca="false">IF(AND(AG91="Yes",Budget2&lt;ShortlistFinal),AP91-AQ91,-1)</f>
        <v>-1</v>
      </c>
      <c r="AS91" s="27" t="n">
        <f aca="false">IF(AG91&lt;&gt;"Yes",0,IF(Budget2&gt;=ShortlistFinal,AK91,AQ91+IF(COUNTIFS($AR$5:$AR$119,"&gt;"&amp;AR91)+COUNTIFS($AR$5:$AR$119,AR91,$AF$5:$AF$119,"&lt;"&amp;AF91)&lt;Budget2-SUM($AQ$5:$AQ$119),1,0)))</f>
        <v>0</v>
      </c>
      <c r="AT91" s="26" t="n">
        <f aca="false">AK91*Share2025</f>
        <v>0</v>
      </c>
      <c r="AU91" s="26" t="n">
        <f aca="false">AK91*Share2026</f>
        <v>0</v>
      </c>
      <c r="AV91" s="26" t="n">
        <f aca="false">AK91*Share2027</f>
        <v>0</v>
      </c>
      <c r="AW91" s="31" t="n">
        <f aca="false">INT(AT91)</f>
        <v>0</v>
      </c>
      <c r="AX91" s="31" t="n">
        <f aca="false">INT(AU91)</f>
        <v>0</v>
      </c>
      <c r="AY91" s="31" t="n">
        <f aca="false">INT(AV91)</f>
        <v>0</v>
      </c>
      <c r="AZ91" s="26" t="n">
        <f aca="false">AT91-AW91</f>
        <v>0</v>
      </c>
      <c r="BA91" s="26" t="n">
        <f aca="false">AU91-AX91</f>
        <v>0</v>
      </c>
      <c r="BB91" s="26" t="n">
        <f aca="false">AV91-AY91</f>
        <v>0</v>
      </c>
      <c r="BC91" s="31" t="n">
        <f aca="false">AK91-AW91-AX91-AY91</f>
        <v>0</v>
      </c>
      <c r="BD91" s="27" t="n">
        <f aca="false">AW91+IF((BA91&gt;AZ91)+(BB91&gt;AZ91)&lt;BC91,1,0)</f>
        <v>0</v>
      </c>
      <c r="BE91" s="27" t="n">
        <f aca="false">AX91+IF((AZ91&gt;BA91)+(BB91&gt;BA91)+(AZ91=BA91)&lt;BC91,1,0)</f>
        <v>0</v>
      </c>
      <c r="BF91" s="27" t="n">
        <f aca="false">AY91+IF((AZ91&gt;BB91)+(BA91&gt;BB91)+(AZ91=BB91)+(BA91=BB91)&lt;BC91,1,0)</f>
        <v>0</v>
      </c>
    </row>
    <row r="92" customFormat="false" ht="15" hidden="false" customHeight="false" outlineLevel="0" collapsed="false">
      <c r="A92" s="22" t="str">
        <f aca="false">'District Data'!A92</f>
        <v>Qilla Saifullah</v>
      </c>
      <c r="B92" s="22" t="str">
        <f aca="false">'District Data'!C92</f>
        <v>Multan Region</v>
      </c>
      <c r="C92" s="22" t="str">
        <f aca="false">'District Data'!D92</f>
        <v>Rest</v>
      </c>
      <c r="D92" s="23" t="n">
        <f aca="false">ROUND('District Data'!E92*'District Data'!F92,0)</f>
        <v>108689</v>
      </c>
      <c r="E92" s="23" t="n">
        <f aca="false">'District Data'!I92</f>
        <v>7</v>
      </c>
      <c r="F92" s="23" t="n">
        <f aca="false">'District Data'!L92</f>
        <v>3611.9</v>
      </c>
      <c r="G92" s="24" t="n">
        <f aca="false">IFERROR(F92/(E92*Weeks),0)</f>
        <v>9.9228021978022</v>
      </c>
      <c r="H92" s="25" t="n">
        <f aca="false">IFERROR('District Data'!N92/('District Data'!M92*Weeks),0)</f>
        <v>3.20769230769231</v>
      </c>
      <c r="I92" s="24" t="n">
        <f aca="false">IFERROR(SUMIFS('District Data'!$N$5:$N$119,'District Data'!$C$5:$C$119,B92)/(SUMIFS('District Data'!$M$5:$M$119,'District Data'!$C$5:$C$119,B92)*Weeks),0)</f>
        <v>8.16663285109386</v>
      </c>
      <c r="J92" s="24" t="n">
        <f aca="false">IF(TPBasis="NI TP",IF(H92&gt;0,H92,I92),G92)</f>
        <v>3.20769230769231</v>
      </c>
      <c r="K92" s="26" t="n">
        <f aca="false">IFERROR(F92/D92,0)</f>
        <v>0.0332315137686426</v>
      </c>
      <c r="L92" s="27" t="n">
        <f aca="false">IFERROR(D92/E92,0)</f>
        <v>15527</v>
      </c>
      <c r="M92" s="28" t="n">
        <f aca="false">IFERROR('District Data'!L92/'District Data'!K92-1,0)</f>
        <v>-0.0946484521869908</v>
      </c>
      <c r="N92" s="28" t="n">
        <f aca="false">IFERROR(('District Data'!L92/'District Data'!J92)^(1/2)-1,0)</f>
        <v>-0.0456253792895792</v>
      </c>
      <c r="O92" s="28" t="n">
        <f aca="false">IFERROR('District Data'!I92/'District Data'!H92-1,0)</f>
        <v>0</v>
      </c>
      <c r="P92" s="7" t="str">
        <f aca="false">IF(K92&gt;=PCC_L1,"Layer 01",IF(K92&gt;=PCC_L2,"Layer 02",IF(K92&gt;=PCC_L3,"Layer 03",IF(K92&gt;=PCC_L4,"Layer 04","Layer 05"))))</f>
        <v>Layer 05</v>
      </c>
      <c r="Q92" s="7" t="str">
        <f aca="false">IF(L92&gt;=PPO_L1,"Layer 01",IF(L92&gt;=PPO_L2,"Layer 02",IF(L92&gt;=PPO_L3,"Layer 03",IF(L92&gt;=PPO_L4,"Layer 04","Layer 05"))))</f>
        <v>Layer 02</v>
      </c>
      <c r="R92" s="29" t="n">
        <f aca="false">D92/IdealPPO-E92</f>
        <v>137.918666666667</v>
      </c>
      <c r="S92" s="29" t="n">
        <f aca="false">IdealTP*Weeks-(Weeks*J92+FirstFill)</f>
        <v>533.2</v>
      </c>
      <c r="T92" s="29" t="n">
        <f aca="false">IF(S92&gt;0,(F92-IdealTP*Weeks*E92)/S92,1000000000000)</f>
        <v>-3.46605401350338</v>
      </c>
      <c r="U92" s="27" t="n">
        <f aca="false">IF(E92&lt;=0,0,IF(G92&lt;=IdealTP,0,IF(L92&lt;=IdealPPO,0,INT(MIN(T92,R92)+0.000000001))))</f>
        <v>0</v>
      </c>
      <c r="V92" s="7" t="str">
        <f aca="false">IF(E92&lt;=0,"No current outlets",IF(G92&lt;=IdealTP,"TP already at or below ideal",IF(L92&lt;=IdealPPO,"PPO already at or below ideal",IF(T92&lt;=R92,"Stopped by TP reaching ideal","Stopped by PPO reaching ideal"))))</f>
        <v>TP already at or below ideal</v>
      </c>
      <c r="W92" s="30" t="n">
        <f aca="false">F92+U92*(Weeks*J92+FirstFill)</f>
        <v>3611.9</v>
      </c>
      <c r="X92" s="30" t="n">
        <f aca="false">E92+U92</f>
        <v>7</v>
      </c>
      <c r="Y92" s="24" t="n">
        <f aca="false">IFERROR(W92/(X92*Weeks),0)</f>
        <v>9.9228021978022</v>
      </c>
      <c r="Z92" s="30" t="n">
        <f aca="false">IFERROR(D92/X92,0)</f>
        <v>15527</v>
      </c>
      <c r="AA92" s="7" t="str">
        <f aca="false">IF(AND(K92&gt;=NationalPCC,L92&gt;IdealPPO),"Q1: High PCC, High PPO",IF(K92&gt;=NationalPCC,"Q2: High PCC, Low PPO",IF(L92&gt;IdealPPO,"Q3: Low PCC, High PPO","Q4: Low PCC, Low PPO")))</f>
        <v>Q3: Low PCC, High PPO</v>
      </c>
      <c r="AB92" s="7" t="str">
        <f aca="false">IF(K92&gt;=NationalPCC,IF(L92&gt;IdealPPO,"Phase 1","Phase 2"),"Phase 3")</f>
        <v>Phase 3</v>
      </c>
      <c r="AC92" s="7" t="str">
        <f aca="false">IF(AND(G92&gt;IdealTP,L92&gt;IdealPPO),"High TP, High PPO",IF(G92&gt;IdealTP,"High TP, Low PPO",IF(L92&gt;IdealPPO,"Low TP, High PPO","Low TP, Low PPO")))</f>
        <v>Low TP, High PPO</v>
      </c>
      <c r="AD92" s="31" t="n">
        <f aca="false">INDEX(WaveNumbers,MATCH(C92,WaveNames,0))</f>
        <v>4</v>
      </c>
      <c r="AE92" s="32" t="str">
        <f aca="false">IF(U92&gt;0,AD92*10000000+VALUE(RIGHT(AB92,1))*1000000+(1000000-U92)+ROW()/1000000,"")</f>
        <v/>
      </c>
      <c r="AF92" s="31" t="str">
        <f aca="false">IF(U92&gt;0,COUNTIFS($AE$5:$AE$119,"&lt;"&amp;AE92)+1,"")</f>
        <v/>
      </c>
      <c r="AG92" s="7" t="str">
        <f aca="false">IF(AF92="","No",IF(AF92&lt;=TopN,"Yes","No"))</f>
        <v>No</v>
      </c>
      <c r="AH92" s="30" t="n">
        <f aca="false">INT('District Data'!O92*ConvRate)</f>
        <v>8</v>
      </c>
      <c r="AI92" s="27" t="n">
        <f aca="false">MIN(U92,AH92)</f>
        <v>0</v>
      </c>
      <c r="AJ92" s="7" t="str">
        <f aca="false">IF(U92=0,"No expansion",IF(AH92&lt;U92,"Supply constrained (not enough shops)","Demand constrained (enough shops)"))</f>
        <v>No expansion</v>
      </c>
      <c r="AK92" s="30" t="n">
        <f aca="false">IF(AG92="Yes",AI92,0)</f>
        <v>0</v>
      </c>
      <c r="AL92" s="26" t="n">
        <f aca="false">IF(AG92="Yes",IF(Budget1&gt;=ShortlistFinal,AK92,AK92/ShortlistFinal*Budget1),0)</f>
        <v>0</v>
      </c>
      <c r="AM92" s="30" t="n">
        <f aca="false">INT(AL92)</f>
        <v>0</v>
      </c>
      <c r="AN92" s="26" t="n">
        <f aca="false">IF(AND(AG92="Yes",Budget1&lt;ShortlistFinal),AL92-AM92,-1)</f>
        <v>-1</v>
      </c>
      <c r="AO92" s="27" t="n">
        <f aca="false">IF(AG92&lt;&gt;"Yes",0,IF(Budget1&gt;=ShortlistFinal,AK92,AM92+IF(COUNTIFS($AN$5:$AN$119,"&gt;"&amp;AN92)+COUNTIFS($AN$5:$AN$119,AN92,$AF$5:$AF$119,"&lt;"&amp;AF92)&lt;Budget1-SUM($AM$5:$AM$119),1,0)))</f>
        <v>0</v>
      </c>
      <c r="AP92" s="26" t="n">
        <f aca="false">IF(AG92="Yes",IF(Budget2&gt;=ShortlistFinal,AK92,AK92/ShortlistFinal*Budget2),0)</f>
        <v>0</v>
      </c>
      <c r="AQ92" s="30" t="n">
        <f aca="false">INT(AP92)</f>
        <v>0</v>
      </c>
      <c r="AR92" s="26" t="n">
        <f aca="false">IF(AND(AG92="Yes",Budget2&lt;ShortlistFinal),AP92-AQ92,-1)</f>
        <v>-1</v>
      </c>
      <c r="AS92" s="27" t="n">
        <f aca="false">IF(AG92&lt;&gt;"Yes",0,IF(Budget2&gt;=ShortlistFinal,AK92,AQ92+IF(COUNTIFS($AR$5:$AR$119,"&gt;"&amp;AR92)+COUNTIFS($AR$5:$AR$119,AR92,$AF$5:$AF$119,"&lt;"&amp;AF92)&lt;Budget2-SUM($AQ$5:$AQ$119),1,0)))</f>
        <v>0</v>
      </c>
      <c r="AT92" s="26" t="n">
        <f aca="false">AK92*Share2025</f>
        <v>0</v>
      </c>
      <c r="AU92" s="26" t="n">
        <f aca="false">AK92*Share2026</f>
        <v>0</v>
      </c>
      <c r="AV92" s="26" t="n">
        <f aca="false">AK92*Share2027</f>
        <v>0</v>
      </c>
      <c r="AW92" s="31" t="n">
        <f aca="false">INT(AT92)</f>
        <v>0</v>
      </c>
      <c r="AX92" s="31" t="n">
        <f aca="false">INT(AU92)</f>
        <v>0</v>
      </c>
      <c r="AY92" s="31" t="n">
        <f aca="false">INT(AV92)</f>
        <v>0</v>
      </c>
      <c r="AZ92" s="26" t="n">
        <f aca="false">AT92-AW92</f>
        <v>0</v>
      </c>
      <c r="BA92" s="26" t="n">
        <f aca="false">AU92-AX92</f>
        <v>0</v>
      </c>
      <c r="BB92" s="26" t="n">
        <f aca="false">AV92-AY92</f>
        <v>0</v>
      </c>
      <c r="BC92" s="31" t="n">
        <f aca="false">AK92-AW92-AX92-AY92</f>
        <v>0</v>
      </c>
      <c r="BD92" s="27" t="n">
        <f aca="false">AW92+IF((BA92&gt;AZ92)+(BB92&gt;AZ92)&lt;BC92,1,0)</f>
        <v>0</v>
      </c>
      <c r="BE92" s="27" t="n">
        <f aca="false">AX92+IF((AZ92&gt;BA92)+(BB92&gt;BA92)+(AZ92=BA92)&lt;BC92,1,0)</f>
        <v>0</v>
      </c>
      <c r="BF92" s="27" t="n">
        <f aca="false">AY92+IF((AZ92&gt;BB92)+(BA92&gt;BB92)+(AZ92=BB92)+(BA92=BB92)&lt;BC92,1,0)</f>
        <v>0</v>
      </c>
    </row>
    <row r="93" customFormat="false" ht="15" hidden="false" customHeight="false" outlineLevel="0" collapsed="false">
      <c r="A93" s="22" t="str">
        <f aca="false">'District Data'!A93</f>
        <v>Quetta</v>
      </c>
      <c r="B93" s="22" t="str">
        <f aca="false">'District Data'!C93</f>
        <v>Multan Region</v>
      </c>
      <c r="C93" s="22" t="str">
        <f aca="false">'District Data'!D93</f>
        <v>Population High</v>
      </c>
      <c r="D93" s="23" t="n">
        <f aca="false">ROUND('District Data'!E93*'District Data'!F93,0)</f>
        <v>1470428</v>
      </c>
      <c r="E93" s="23" t="n">
        <f aca="false">'District Data'!I93</f>
        <v>107</v>
      </c>
      <c r="F93" s="23" t="n">
        <f aca="false">'District Data'!L93</f>
        <v>51725.7</v>
      </c>
      <c r="G93" s="24" t="n">
        <f aca="false">IFERROR(F93/(E93*Weeks),0)</f>
        <v>9.2964953271028</v>
      </c>
      <c r="H93" s="25" t="n">
        <f aca="false">IFERROR('District Data'!N93/('District Data'!M93*Weeks),0)</f>
        <v>6.18024475524476</v>
      </c>
      <c r="I93" s="24" t="n">
        <f aca="false">IFERROR(SUMIFS('District Data'!$N$5:$N$119,'District Data'!$C$5:$C$119,B93)/(SUMIFS('District Data'!$M$5:$M$119,'District Data'!$C$5:$C$119,B93)*Weeks),0)</f>
        <v>8.16663285109386</v>
      </c>
      <c r="J93" s="24" t="n">
        <f aca="false">IF(TPBasis="NI TP",IF(H93&gt;0,H93,I93),G93)</f>
        <v>6.18024475524476</v>
      </c>
      <c r="K93" s="26" t="n">
        <f aca="false">IFERROR(F93/D93,0)</f>
        <v>0.0351773089195799</v>
      </c>
      <c r="L93" s="27" t="n">
        <f aca="false">IFERROR(D93/E93,0)</f>
        <v>13742.3177570093</v>
      </c>
      <c r="M93" s="28" t="n">
        <f aca="false">IFERROR('District Data'!L93/'District Data'!K93-1,0)</f>
        <v>0.0410832352142017</v>
      </c>
      <c r="N93" s="28" t="n">
        <f aca="false">IFERROR(('District Data'!L93/'District Data'!J93)^(1/2)-1,0)</f>
        <v>0.0549407559166157</v>
      </c>
      <c r="O93" s="28" t="n">
        <f aca="false">IFERROR('District Data'!I93/'District Data'!H93-1,0)</f>
        <v>0.0700000000000001</v>
      </c>
      <c r="P93" s="7" t="str">
        <f aca="false">IF(K93&gt;=PCC_L1,"Layer 01",IF(K93&gt;=PCC_L2,"Layer 02",IF(K93&gt;=PCC_L3,"Layer 03",IF(K93&gt;=PCC_L4,"Layer 04","Layer 05"))))</f>
        <v>Layer 05</v>
      </c>
      <c r="Q93" s="7" t="str">
        <f aca="false">IF(L93&gt;=PPO_L1,"Layer 01",IF(L93&gt;=PPO_L2,"Layer 02",IF(L93&gt;=PPO_L3,"Layer 03",IF(L93&gt;=PPO_L4,"Layer 04","Layer 05"))))</f>
        <v>Layer 03</v>
      </c>
      <c r="R93" s="29" t="n">
        <f aca="false">D93/IdealPPO-E93</f>
        <v>1853.57066666667</v>
      </c>
      <c r="S93" s="29" t="n">
        <f aca="false">IdealTP*Weeks-(Weeks*J93+FirstFill)</f>
        <v>378.627272727273</v>
      </c>
      <c r="T93" s="29" t="n">
        <f aca="false">IF(S93&gt;0,(F93-IdealTP*Weeks*E93)/S93,1000000000000)</f>
        <v>-83.8140891738097</v>
      </c>
      <c r="U93" s="27" t="n">
        <f aca="false">IF(E93&lt;=0,0,IF(G93&lt;=IdealTP,0,IF(L93&lt;=IdealPPO,0,INT(MIN(T93,R93)+0.000000001))))</f>
        <v>0</v>
      </c>
      <c r="V93" s="7" t="str">
        <f aca="false">IF(E93&lt;=0,"No current outlets",IF(G93&lt;=IdealTP,"TP already at or below ideal",IF(L93&lt;=IdealPPO,"PPO already at or below ideal",IF(T93&lt;=R93,"Stopped by TP reaching ideal","Stopped by PPO reaching ideal"))))</f>
        <v>TP already at or below ideal</v>
      </c>
      <c r="W93" s="30" t="n">
        <f aca="false">F93+U93*(Weeks*J93+FirstFill)</f>
        <v>51725.7</v>
      </c>
      <c r="X93" s="30" t="n">
        <f aca="false">E93+U93</f>
        <v>107</v>
      </c>
      <c r="Y93" s="24" t="n">
        <f aca="false">IFERROR(W93/(X93*Weeks),0)</f>
        <v>9.2964953271028</v>
      </c>
      <c r="Z93" s="30" t="n">
        <f aca="false">IFERROR(D93/X93,0)</f>
        <v>13742.3177570093</v>
      </c>
      <c r="AA93" s="7" t="str">
        <f aca="false">IF(AND(K93&gt;=NationalPCC,L93&gt;IdealPPO),"Q1: High PCC, High PPO",IF(K93&gt;=NationalPCC,"Q2: High PCC, Low PPO",IF(L93&gt;IdealPPO,"Q3: Low PCC, High PPO","Q4: Low PCC, Low PPO")))</f>
        <v>Q3: Low PCC, High PPO</v>
      </c>
      <c r="AB93" s="7" t="str">
        <f aca="false">IF(K93&gt;=NationalPCC,IF(L93&gt;IdealPPO,"Phase 1","Phase 2"),"Phase 3")</f>
        <v>Phase 3</v>
      </c>
      <c r="AC93" s="7" t="str">
        <f aca="false">IF(AND(G93&gt;IdealTP,L93&gt;IdealPPO),"High TP, High PPO",IF(G93&gt;IdealTP,"High TP, Low PPO",IF(L93&gt;IdealPPO,"Low TP, High PPO","Low TP, Low PPO")))</f>
        <v>Low TP, High PPO</v>
      </c>
      <c r="AD93" s="31" t="n">
        <f aca="false">INDEX(WaveNumbers,MATCH(C93,WaveNames,0))</f>
        <v>3</v>
      </c>
      <c r="AE93" s="32" t="str">
        <f aca="false">IF(U93&gt;0,AD93*10000000+VALUE(RIGHT(AB93,1))*1000000+(1000000-U93)+ROW()/1000000,"")</f>
        <v/>
      </c>
      <c r="AF93" s="31" t="str">
        <f aca="false">IF(U93&gt;0,COUNTIFS($AE$5:$AE$119,"&lt;"&amp;AE93)+1,"")</f>
        <v/>
      </c>
      <c r="AG93" s="7" t="str">
        <f aca="false">IF(AF93="","No",IF(AF93&lt;=TopN,"Yes","No"))</f>
        <v>No</v>
      </c>
      <c r="AH93" s="30" t="n">
        <f aca="false">INT('District Data'!O93*ConvRate)</f>
        <v>144</v>
      </c>
      <c r="AI93" s="27" t="n">
        <f aca="false">MIN(U93,AH93)</f>
        <v>0</v>
      </c>
      <c r="AJ93" s="7" t="str">
        <f aca="false">IF(U93=0,"No expansion",IF(AH93&lt;U93,"Supply constrained (not enough shops)","Demand constrained (enough shops)"))</f>
        <v>No expansion</v>
      </c>
      <c r="AK93" s="30" t="n">
        <f aca="false">IF(AG93="Yes",AI93,0)</f>
        <v>0</v>
      </c>
      <c r="AL93" s="26" t="n">
        <f aca="false">IF(AG93="Yes",IF(Budget1&gt;=ShortlistFinal,AK93,AK93/ShortlistFinal*Budget1),0)</f>
        <v>0</v>
      </c>
      <c r="AM93" s="30" t="n">
        <f aca="false">INT(AL93)</f>
        <v>0</v>
      </c>
      <c r="AN93" s="26" t="n">
        <f aca="false">IF(AND(AG93="Yes",Budget1&lt;ShortlistFinal),AL93-AM93,-1)</f>
        <v>-1</v>
      </c>
      <c r="AO93" s="27" t="n">
        <f aca="false">IF(AG93&lt;&gt;"Yes",0,IF(Budget1&gt;=ShortlistFinal,AK93,AM93+IF(COUNTIFS($AN$5:$AN$119,"&gt;"&amp;AN93)+COUNTIFS($AN$5:$AN$119,AN93,$AF$5:$AF$119,"&lt;"&amp;AF93)&lt;Budget1-SUM($AM$5:$AM$119),1,0)))</f>
        <v>0</v>
      </c>
      <c r="AP93" s="26" t="n">
        <f aca="false">IF(AG93="Yes",IF(Budget2&gt;=ShortlistFinal,AK93,AK93/ShortlistFinal*Budget2),0)</f>
        <v>0</v>
      </c>
      <c r="AQ93" s="30" t="n">
        <f aca="false">INT(AP93)</f>
        <v>0</v>
      </c>
      <c r="AR93" s="26" t="n">
        <f aca="false">IF(AND(AG93="Yes",Budget2&lt;ShortlistFinal),AP93-AQ93,-1)</f>
        <v>-1</v>
      </c>
      <c r="AS93" s="27" t="n">
        <f aca="false">IF(AG93&lt;&gt;"Yes",0,IF(Budget2&gt;=ShortlistFinal,AK93,AQ93+IF(COUNTIFS($AR$5:$AR$119,"&gt;"&amp;AR93)+COUNTIFS($AR$5:$AR$119,AR93,$AF$5:$AF$119,"&lt;"&amp;AF93)&lt;Budget2-SUM($AQ$5:$AQ$119),1,0)))</f>
        <v>0</v>
      </c>
      <c r="AT93" s="26" t="n">
        <f aca="false">AK93*Share2025</f>
        <v>0</v>
      </c>
      <c r="AU93" s="26" t="n">
        <f aca="false">AK93*Share2026</f>
        <v>0</v>
      </c>
      <c r="AV93" s="26" t="n">
        <f aca="false">AK93*Share2027</f>
        <v>0</v>
      </c>
      <c r="AW93" s="31" t="n">
        <f aca="false">INT(AT93)</f>
        <v>0</v>
      </c>
      <c r="AX93" s="31" t="n">
        <f aca="false">INT(AU93)</f>
        <v>0</v>
      </c>
      <c r="AY93" s="31" t="n">
        <f aca="false">INT(AV93)</f>
        <v>0</v>
      </c>
      <c r="AZ93" s="26" t="n">
        <f aca="false">AT93-AW93</f>
        <v>0</v>
      </c>
      <c r="BA93" s="26" t="n">
        <f aca="false">AU93-AX93</f>
        <v>0</v>
      </c>
      <c r="BB93" s="26" t="n">
        <f aca="false">AV93-AY93</f>
        <v>0</v>
      </c>
      <c r="BC93" s="31" t="n">
        <f aca="false">AK93-AW93-AX93-AY93</f>
        <v>0</v>
      </c>
      <c r="BD93" s="27" t="n">
        <f aca="false">AW93+IF((BA93&gt;AZ93)+(BB93&gt;AZ93)&lt;BC93,1,0)</f>
        <v>0</v>
      </c>
      <c r="BE93" s="27" t="n">
        <f aca="false">AX93+IF((AZ93&gt;BA93)+(BB93&gt;BA93)+(AZ93=BA93)&lt;BC93,1,0)</f>
        <v>0</v>
      </c>
      <c r="BF93" s="27" t="n">
        <f aca="false">AY93+IF((AZ93&gt;BB93)+(BA93&gt;BB93)+(AZ93=BB93)+(BA93=BB93)&lt;BC93,1,0)</f>
        <v>0</v>
      </c>
    </row>
    <row r="94" customFormat="false" ht="15" hidden="false" customHeight="false" outlineLevel="0" collapsed="false">
      <c r="A94" s="22" t="str">
        <f aca="false">'District Data'!A94</f>
        <v>Rahim Yar Khan</v>
      </c>
      <c r="B94" s="22" t="str">
        <f aca="false">'District Data'!C94</f>
        <v>Multan Region</v>
      </c>
      <c r="C94" s="22" t="str">
        <f aca="false">'District Data'!D94</f>
        <v>Neighbouring</v>
      </c>
      <c r="D94" s="23" t="n">
        <f aca="false">ROUND('District Data'!E94*'District Data'!F94,0)</f>
        <v>1796125</v>
      </c>
      <c r="E94" s="23" t="n">
        <f aca="false">'District Data'!I94</f>
        <v>235</v>
      </c>
      <c r="F94" s="23" t="n">
        <f aca="false">'District Data'!L94</f>
        <v>203178.8</v>
      </c>
      <c r="G94" s="24" t="n">
        <f aca="false">IFERROR(F94/(E94*Weeks),0)</f>
        <v>16.6267430441899</v>
      </c>
      <c r="H94" s="25" t="n">
        <f aca="false">IFERROR('District Data'!N94/('District Data'!M94*Weeks),0)</f>
        <v>8.13907342657343</v>
      </c>
      <c r="I94" s="24" t="n">
        <f aca="false">IFERROR(SUMIFS('District Data'!$N$5:$N$119,'District Data'!$C$5:$C$119,B94)/(SUMIFS('District Data'!$M$5:$M$119,'District Data'!$C$5:$C$119,B94)*Weeks),0)</f>
        <v>8.16663285109386</v>
      </c>
      <c r="J94" s="24" t="n">
        <f aca="false">IF(TPBasis="NI TP",IF(H94&gt;0,H94,I94),G94)</f>
        <v>8.13907342657343</v>
      </c>
      <c r="K94" s="26" t="n">
        <f aca="false">IFERROR(F94/D94,0)</f>
        <v>0.113120634699701</v>
      </c>
      <c r="L94" s="27" t="n">
        <f aca="false">IFERROR(D94/E94,0)</f>
        <v>7643.08510638298</v>
      </c>
      <c r="M94" s="28" t="n">
        <f aca="false">IFERROR('District Data'!L94/'District Data'!K94-1,0)</f>
        <v>0.00415939332955073</v>
      </c>
      <c r="N94" s="28" t="n">
        <f aca="false">IFERROR(('District Data'!L94/'District Data'!J94)^(1/2)-1,0)</f>
        <v>0.0140309720205336</v>
      </c>
      <c r="O94" s="28" t="n">
        <f aca="false">IFERROR('District Data'!I94/'District Data'!H94-1,0)</f>
        <v>0.0829493087557605</v>
      </c>
      <c r="P94" s="7" t="str">
        <f aca="false">IF(K94&gt;=PCC_L1,"Layer 01",IF(K94&gt;=PCC_L2,"Layer 02",IF(K94&gt;=PCC_L3,"Layer 03",IF(K94&gt;=PCC_L4,"Layer 04","Layer 05"))))</f>
        <v>Layer 05</v>
      </c>
      <c r="Q94" s="7" t="str">
        <f aca="false">IF(L94&gt;=PPO_L1,"Layer 01",IF(L94&gt;=PPO_L2,"Layer 02",IF(L94&gt;=PPO_L3,"Layer 03",IF(L94&gt;=PPO_L4,"Layer 04","Layer 05"))))</f>
        <v>Layer 03</v>
      </c>
      <c r="R94" s="29" t="n">
        <f aca="false">D94/IdealPPO-E94</f>
        <v>2159.83333333333</v>
      </c>
      <c r="S94" s="29" t="n">
        <f aca="false">IdealTP*Weeks-(Weeks*J94+FirstFill)</f>
        <v>276.768181818182</v>
      </c>
      <c r="T94" s="29" t="n">
        <f aca="false">IF(S94&gt;0,(F94-IdealTP*Weeks*E94)/S94,1000000000000)</f>
        <v>71.8247302468426</v>
      </c>
      <c r="U94" s="27" t="n">
        <f aca="false">IF(E94&lt;=0,0,IF(G94&lt;=IdealTP,0,IF(L94&lt;=IdealPPO,0,INT(MIN(T94,R94)+0.000000001))))</f>
        <v>71</v>
      </c>
      <c r="V94" s="7" t="str">
        <f aca="false">IF(E94&lt;=0,"No current outlets",IF(G94&lt;=IdealTP,"TP already at or below ideal",IF(L94&lt;=IdealPPO,"PPO already at or below ideal",IF(T94&lt;=R94,"Stopped by TP reaching ideal","Stopped by PPO reaching ideal"))))</f>
        <v>Stopped by TP reaching ideal</v>
      </c>
      <c r="W94" s="30" t="n">
        <f aca="false">F94+U94*(Weeks*J94+FirstFill)</f>
        <v>238908.259090909</v>
      </c>
      <c r="X94" s="30" t="n">
        <f aca="false">E94+U94</f>
        <v>306</v>
      </c>
      <c r="Y94" s="24" t="n">
        <f aca="false">IFERROR(W94/(X94*Weeks),0)</f>
        <v>15.0143450911833</v>
      </c>
      <c r="Z94" s="30" t="n">
        <f aca="false">IFERROR(D94/X94,0)</f>
        <v>5869.68954248366</v>
      </c>
      <c r="AA94" s="7" t="str">
        <f aca="false">IF(AND(K94&gt;=NationalPCC,L94&gt;IdealPPO),"Q1: High PCC, High PPO",IF(K94&gt;=NationalPCC,"Q2: High PCC, Low PPO",IF(L94&gt;IdealPPO,"Q3: Low PCC, High PPO","Q4: Low PCC, Low PPO")))</f>
        <v>Q3: Low PCC, High PPO</v>
      </c>
      <c r="AB94" s="7" t="str">
        <f aca="false">IF(K94&gt;=NationalPCC,IF(L94&gt;IdealPPO,"Phase 1","Phase 2"),"Phase 3")</f>
        <v>Phase 3</v>
      </c>
      <c r="AC94" s="7" t="str">
        <f aca="false">IF(AND(G94&gt;IdealTP,L94&gt;IdealPPO),"High TP, High PPO",IF(G94&gt;IdealTP,"High TP, Low PPO",IF(L94&gt;IdealPPO,"Low TP, High PPO","Low TP, Low PPO")))</f>
        <v>High TP, High PPO</v>
      </c>
      <c r="AD94" s="31" t="n">
        <f aca="false">INDEX(WaveNumbers,MATCH(C94,WaveNames,0))</f>
        <v>2</v>
      </c>
      <c r="AE94" s="32" t="n">
        <f aca="false">IF(U94&gt;0,AD94*10000000+VALUE(RIGHT(AB94,1))*1000000+(1000000-U94)+ROW()/1000000,"")</f>
        <v>23999929.000094</v>
      </c>
      <c r="AF94" s="31" t="n">
        <f aca="false">IF(U94&gt;0,COUNTIFS($AE$5:$AE$119,"&lt;"&amp;AE94)+1,"")</f>
        <v>28</v>
      </c>
      <c r="AG94" s="7" t="str">
        <f aca="false">IF(AF94="","No",IF(AF94&lt;=TopN,"Yes","No"))</f>
        <v>Yes</v>
      </c>
      <c r="AH94" s="30" t="n">
        <f aca="false">INT('District Data'!O94*ConvRate)</f>
        <v>192</v>
      </c>
      <c r="AI94" s="27" t="n">
        <f aca="false">MIN(U94,AH94)</f>
        <v>71</v>
      </c>
      <c r="AJ94" s="7" t="str">
        <f aca="false">IF(U94=0,"No expansion",IF(AH94&lt;U94,"Supply constrained (not enough shops)","Demand constrained (enough shops)"))</f>
        <v>Demand constrained (enough shops)</v>
      </c>
      <c r="AK94" s="30" t="n">
        <f aca="false">IF(AG94="Yes",AI94,0)</f>
        <v>71</v>
      </c>
      <c r="AL94" s="26" t="n">
        <f aca="false">IF(AG94="Yes",IF(Budget1&gt;=ShortlistFinal,AK94,AK94/ShortlistFinal*Budget1),0)</f>
        <v>41.9807834441981</v>
      </c>
      <c r="AM94" s="30" t="n">
        <f aca="false">INT(AL94)</f>
        <v>41</v>
      </c>
      <c r="AN94" s="26" t="n">
        <f aca="false">IF(AND(AG94="Yes",Budget1&lt;ShortlistFinal),AL94-AM94,-1)</f>
        <v>0.980783444198082</v>
      </c>
      <c r="AO94" s="27" t="n">
        <f aca="false">IF(AG94&lt;&gt;"Yes",0,IF(Budget1&gt;=ShortlistFinal,AK94,AM94+IF(COUNTIFS($AN$5:$AN$119,"&gt;"&amp;AN94)+COUNTIFS($AN$5:$AN$119,AN94,$AF$5:$AF$119,"&lt;"&amp;AF94)&lt;Budget1-SUM($AM$5:$AM$119),1,0)))</f>
        <v>42</v>
      </c>
      <c r="AP94" s="26" t="n">
        <f aca="false">IF(AG94="Yes",IF(Budget2&gt;=ShortlistFinal,AK94,AK94/ShortlistFinal*Budget2),0)</f>
        <v>62.9711751662971</v>
      </c>
      <c r="AQ94" s="30" t="n">
        <f aca="false">INT(AP94)</f>
        <v>62</v>
      </c>
      <c r="AR94" s="26" t="n">
        <f aca="false">IF(AND(AG94="Yes",Budget2&lt;ShortlistFinal),AP94-AQ94,-1)</f>
        <v>0.971175166297122</v>
      </c>
      <c r="AS94" s="27" t="n">
        <f aca="false">IF(AG94&lt;&gt;"Yes",0,IF(Budget2&gt;=ShortlistFinal,AK94,AQ94+IF(COUNTIFS($AR$5:$AR$119,"&gt;"&amp;AR94)+COUNTIFS($AR$5:$AR$119,AR94,$AF$5:$AF$119,"&lt;"&amp;AF94)&lt;Budget2-SUM($AQ$5:$AQ$119),1,0)))</f>
        <v>63</v>
      </c>
      <c r="AT94" s="26" t="n">
        <f aca="false">AK94*Share2025</f>
        <v>25.0588235294118</v>
      </c>
      <c r="AU94" s="26" t="n">
        <f aca="false">AK94*Share2026</f>
        <v>25.0588235294118</v>
      </c>
      <c r="AV94" s="26" t="n">
        <f aca="false">AK94*Share2027</f>
        <v>20.8823529411765</v>
      </c>
      <c r="AW94" s="31" t="n">
        <f aca="false">INT(AT94)</f>
        <v>25</v>
      </c>
      <c r="AX94" s="31" t="n">
        <f aca="false">INT(AU94)</f>
        <v>25</v>
      </c>
      <c r="AY94" s="31" t="n">
        <f aca="false">INT(AV94)</f>
        <v>20</v>
      </c>
      <c r="AZ94" s="26" t="n">
        <f aca="false">AT94-AW94</f>
        <v>0.0588235294117716</v>
      </c>
      <c r="BA94" s="26" t="n">
        <f aca="false">AU94-AX94</f>
        <v>0.0588235294117716</v>
      </c>
      <c r="BB94" s="26" t="n">
        <f aca="false">AV94-AY94</f>
        <v>0.882352941176468</v>
      </c>
      <c r="BC94" s="31" t="n">
        <f aca="false">AK94-AW94-AX94-AY94</f>
        <v>1</v>
      </c>
      <c r="BD94" s="27" t="n">
        <f aca="false">AW94+IF((BA94&gt;AZ94)+(BB94&gt;AZ94)&lt;BC94,1,0)</f>
        <v>25</v>
      </c>
      <c r="BE94" s="27" t="n">
        <f aca="false">AX94+IF((AZ94&gt;BA94)+(BB94&gt;BA94)+(AZ94=BA94)&lt;BC94,1,0)</f>
        <v>25</v>
      </c>
      <c r="BF94" s="27" t="n">
        <f aca="false">AY94+IF((AZ94&gt;BB94)+(BA94&gt;BB94)+(AZ94=BB94)+(BA94=BB94)&lt;BC94,1,0)</f>
        <v>21</v>
      </c>
    </row>
    <row r="95" customFormat="false" ht="15" hidden="false" customHeight="false" outlineLevel="0" collapsed="false">
      <c r="A95" s="22" t="str">
        <f aca="false">'District Data'!A95</f>
        <v>Rajanpur</v>
      </c>
      <c r="B95" s="22" t="str">
        <f aca="false">'District Data'!C95</f>
        <v>Multan Region</v>
      </c>
      <c r="C95" s="22" t="str">
        <f aca="false">'District Data'!D95</f>
        <v>Neighbouring</v>
      </c>
      <c r="D95" s="23" t="n">
        <f aca="false">ROUND('District Data'!E95*'District Data'!F95,0)</f>
        <v>686581</v>
      </c>
      <c r="E95" s="23" t="n">
        <f aca="false">'District Data'!I95</f>
        <v>86</v>
      </c>
      <c r="F95" s="23" t="n">
        <f aca="false">'District Data'!L95</f>
        <v>67303.9</v>
      </c>
      <c r="G95" s="24" t="n">
        <f aca="false">IFERROR(F95/(E95*Weeks),0)</f>
        <v>15.0500670840787</v>
      </c>
      <c r="H95" s="25" t="n">
        <f aca="false">IFERROR('District Data'!N95/('District Data'!M95*Weeks),0)</f>
        <v>12.0357142857143</v>
      </c>
      <c r="I95" s="24" t="n">
        <f aca="false">IFERROR(SUMIFS('District Data'!$N$5:$N$119,'District Data'!$C$5:$C$119,B95)/(SUMIFS('District Data'!$M$5:$M$119,'District Data'!$C$5:$C$119,B95)*Weeks),0)</f>
        <v>8.16663285109386</v>
      </c>
      <c r="J95" s="24" t="n">
        <f aca="false">IF(TPBasis="NI TP",IF(H95&gt;0,H95,I95),G95)</f>
        <v>12.0357142857143</v>
      </c>
      <c r="K95" s="26" t="n">
        <f aca="false">IFERROR(F95/D95,0)</f>
        <v>0.0980276180086545</v>
      </c>
      <c r="L95" s="27" t="n">
        <f aca="false">IFERROR(D95/E95,0)</f>
        <v>7983.5</v>
      </c>
      <c r="M95" s="28" t="n">
        <f aca="false">IFERROR('District Data'!L95/'District Data'!K95-1,0)</f>
        <v>0.0390396927214314</v>
      </c>
      <c r="N95" s="28" t="n">
        <f aca="false">IFERROR(('District Data'!L95/'District Data'!J95)^(1/2)-1,0)</f>
        <v>0.0269199989847539</v>
      </c>
      <c r="O95" s="28" t="n">
        <f aca="false">IFERROR('District Data'!I95/'District Data'!H95-1,0)</f>
        <v>0.102564102564103</v>
      </c>
      <c r="P95" s="7" t="str">
        <f aca="false">IF(K95&gt;=PCC_L1,"Layer 01",IF(K95&gt;=PCC_L2,"Layer 02",IF(K95&gt;=PCC_L3,"Layer 03",IF(K95&gt;=PCC_L4,"Layer 04","Layer 05"))))</f>
        <v>Layer 05</v>
      </c>
      <c r="Q95" s="7" t="str">
        <f aca="false">IF(L95&gt;=PPO_L1,"Layer 01",IF(L95&gt;=PPO_L2,"Layer 02",IF(L95&gt;=PPO_L3,"Layer 03",IF(L95&gt;=PPO_L4,"Layer 04","Layer 05"))))</f>
        <v>Layer 03</v>
      </c>
      <c r="R95" s="29" t="n">
        <f aca="false">D95/IdealPPO-E95</f>
        <v>829.441333333333</v>
      </c>
      <c r="S95" s="29" t="n">
        <f aca="false">IdealTP*Weeks-(Weeks*J95+FirstFill)</f>
        <v>74.1428571428571</v>
      </c>
      <c r="T95" s="29" t="n">
        <f aca="false">IF(S95&gt;0,(F95-IdealTP*Weeks*E95)/S95,1000000000000)</f>
        <v>3.01984585741803</v>
      </c>
      <c r="U95" s="27" t="n">
        <f aca="false">IF(E95&lt;=0,0,IF(G95&lt;=IdealTP,0,IF(L95&lt;=IdealPPO,0,INT(MIN(T95,R95)+0.000000001))))</f>
        <v>3</v>
      </c>
      <c r="V95" s="7" t="str">
        <f aca="false">IF(E95&lt;=0,"No current outlets",IF(G95&lt;=IdealTP,"TP already at or below ideal",IF(L95&lt;=IdealPPO,"PPO already at or below ideal",IF(T95&lt;=R95,"Stopped by TP reaching ideal","Stopped by PPO reaching ideal"))))</f>
        <v>Stopped by TP reaching ideal</v>
      </c>
      <c r="W95" s="30" t="n">
        <f aca="false">F95+U95*(Weeks*J95+FirstFill)</f>
        <v>69421.4714285714</v>
      </c>
      <c r="X95" s="30" t="n">
        <f aca="false">E95+U95</f>
        <v>89</v>
      </c>
      <c r="Y95" s="24" t="n">
        <f aca="false">IFERROR(W95/(X95*Weeks),0)</f>
        <v>15.0003179404865</v>
      </c>
      <c r="Z95" s="30" t="n">
        <f aca="false">IFERROR(D95/X95,0)</f>
        <v>7714.39325842697</v>
      </c>
      <c r="AA95" s="7" t="str">
        <f aca="false">IF(AND(K95&gt;=NationalPCC,L95&gt;IdealPPO),"Q1: High PCC, High PPO",IF(K95&gt;=NationalPCC,"Q2: High PCC, Low PPO",IF(L95&gt;IdealPPO,"Q3: Low PCC, High PPO","Q4: Low PCC, Low PPO")))</f>
        <v>Q3: Low PCC, High PPO</v>
      </c>
      <c r="AB95" s="7" t="str">
        <f aca="false">IF(K95&gt;=NationalPCC,IF(L95&gt;IdealPPO,"Phase 1","Phase 2"),"Phase 3")</f>
        <v>Phase 3</v>
      </c>
      <c r="AC95" s="7" t="str">
        <f aca="false">IF(AND(G95&gt;IdealTP,L95&gt;IdealPPO),"High TP, High PPO",IF(G95&gt;IdealTP,"High TP, Low PPO",IF(L95&gt;IdealPPO,"Low TP, High PPO","Low TP, Low PPO")))</f>
        <v>High TP, High PPO</v>
      </c>
      <c r="AD95" s="31" t="n">
        <f aca="false">INDEX(WaveNumbers,MATCH(C95,WaveNames,0))</f>
        <v>2</v>
      </c>
      <c r="AE95" s="32" t="n">
        <f aca="false">IF(U95&gt;0,AD95*10000000+VALUE(RIGHT(AB95,1))*1000000+(1000000-U95)+ROW()/1000000,"")</f>
        <v>23999997.000095</v>
      </c>
      <c r="AF95" s="31" t="n">
        <f aca="false">IF(U95&gt;0,COUNTIFS($AE$5:$AE$119,"&lt;"&amp;AE95)+1,"")</f>
        <v>35</v>
      </c>
      <c r="AG95" s="7" t="str">
        <f aca="false">IF(AF95="","No",IF(AF95&lt;=TopN,"Yes","No"))</f>
        <v>Yes</v>
      </c>
      <c r="AH95" s="30" t="n">
        <f aca="false">INT('District Data'!O95*ConvRate)</f>
        <v>56</v>
      </c>
      <c r="AI95" s="27" t="n">
        <f aca="false">MIN(U95,AH95)</f>
        <v>3</v>
      </c>
      <c r="AJ95" s="7" t="str">
        <f aca="false">IF(U95=0,"No expansion",IF(AH95&lt;U95,"Supply constrained (not enough shops)","Demand constrained (enough shops)"))</f>
        <v>Demand constrained (enough shops)</v>
      </c>
      <c r="AK95" s="30" t="n">
        <f aca="false">IF(AG95="Yes",AI95,0)</f>
        <v>3</v>
      </c>
      <c r="AL95" s="26" t="n">
        <f aca="false">IF(AG95="Yes",IF(Budget1&gt;=ShortlistFinal,AK95,AK95/ShortlistFinal*Budget1),0)</f>
        <v>1.77383592017738</v>
      </c>
      <c r="AM95" s="30" t="n">
        <f aca="false">INT(AL95)</f>
        <v>1</v>
      </c>
      <c r="AN95" s="26" t="n">
        <f aca="false">IF(AND(AG95="Yes",Budget1&lt;ShortlistFinal),AL95-AM95,-1)</f>
        <v>0.773835920177384</v>
      </c>
      <c r="AO95" s="27" t="n">
        <f aca="false">IF(AG95&lt;&gt;"Yes",0,IF(Budget1&gt;=ShortlistFinal,AK95,AM95+IF(COUNTIFS($AN$5:$AN$119,"&gt;"&amp;AN95)+COUNTIFS($AN$5:$AN$119,AN95,$AF$5:$AF$119,"&lt;"&amp;AF95)&lt;Budget1-SUM($AM$5:$AM$119),1,0)))</f>
        <v>2</v>
      </c>
      <c r="AP95" s="26" t="n">
        <f aca="false">IF(AG95="Yes",IF(Budget2&gt;=ShortlistFinal,AK95,AK95/ShortlistFinal*Budget2),0)</f>
        <v>2.66075388026608</v>
      </c>
      <c r="AQ95" s="30" t="n">
        <f aca="false">INT(AP95)</f>
        <v>2</v>
      </c>
      <c r="AR95" s="26" t="n">
        <f aca="false">IF(AND(AG95="Yes",Budget2&lt;ShortlistFinal),AP95-AQ95,-1)</f>
        <v>0.660753880266075</v>
      </c>
      <c r="AS95" s="27" t="n">
        <f aca="false">IF(AG95&lt;&gt;"Yes",0,IF(Budget2&gt;=ShortlistFinal,AK95,AQ95+IF(COUNTIFS($AR$5:$AR$119,"&gt;"&amp;AR95)+COUNTIFS($AR$5:$AR$119,AR95,$AF$5:$AF$119,"&lt;"&amp;AF95)&lt;Budget2-SUM($AQ$5:$AQ$119),1,0)))</f>
        <v>3</v>
      </c>
      <c r="AT95" s="26" t="n">
        <f aca="false">AK95*Share2025</f>
        <v>1.05882352941177</v>
      </c>
      <c r="AU95" s="26" t="n">
        <f aca="false">AK95*Share2026</f>
        <v>1.05882352941177</v>
      </c>
      <c r="AV95" s="26" t="n">
        <f aca="false">AK95*Share2027</f>
        <v>0.882352941176471</v>
      </c>
      <c r="AW95" s="31" t="n">
        <f aca="false">INT(AT95)</f>
        <v>1</v>
      </c>
      <c r="AX95" s="31" t="n">
        <f aca="false">INT(AU95)</f>
        <v>1</v>
      </c>
      <c r="AY95" s="31" t="n">
        <f aca="false">INT(AV95)</f>
        <v>0</v>
      </c>
      <c r="AZ95" s="26" t="n">
        <f aca="false">AT95-AW95</f>
        <v>0.0588235294117649</v>
      </c>
      <c r="BA95" s="26" t="n">
        <f aca="false">AU95-AX95</f>
        <v>0.0588235294117649</v>
      </c>
      <c r="BB95" s="26" t="n">
        <f aca="false">AV95-AY95</f>
        <v>0.882352941176471</v>
      </c>
      <c r="BC95" s="31" t="n">
        <f aca="false">AK95-AW95-AX95-AY95</f>
        <v>1</v>
      </c>
      <c r="BD95" s="27" t="n">
        <f aca="false">AW95+IF((BA95&gt;AZ95)+(BB95&gt;AZ95)&lt;BC95,1,0)</f>
        <v>1</v>
      </c>
      <c r="BE95" s="27" t="n">
        <f aca="false">AX95+IF((AZ95&gt;BA95)+(BB95&gt;BA95)+(AZ95=BA95)&lt;BC95,1,0)</f>
        <v>1</v>
      </c>
      <c r="BF95" s="27" t="n">
        <f aca="false">AY95+IF((AZ95&gt;BB95)+(BA95&gt;BB95)+(AZ95=BB95)+(BA95=BB95)&lt;BC95,1,0)</f>
        <v>1</v>
      </c>
    </row>
    <row r="96" customFormat="false" ht="15" hidden="false" customHeight="false" outlineLevel="0" collapsed="false">
      <c r="A96" s="22" t="str">
        <f aca="false">'District Data'!A96</f>
        <v>Rawalpindi</v>
      </c>
      <c r="B96" s="22" t="str">
        <f aca="false">'District Data'!C96</f>
        <v>Islamabad Region</v>
      </c>
      <c r="C96" s="22" t="str">
        <f aca="false">'District Data'!D96</f>
        <v>Stronghold</v>
      </c>
      <c r="D96" s="23" t="n">
        <f aca="false">ROUND('District Data'!E96*'District Data'!F96,0)</f>
        <v>3548424</v>
      </c>
      <c r="E96" s="23" t="n">
        <f aca="false">'District Data'!I96</f>
        <v>1148</v>
      </c>
      <c r="F96" s="23" t="n">
        <f aca="false">'District Data'!L96</f>
        <v>1033311.3</v>
      </c>
      <c r="G96" s="24" t="n">
        <f aca="false">IFERROR(F96/(E96*Weeks),0)</f>
        <v>17.3095567542214</v>
      </c>
      <c r="H96" s="25" t="n">
        <f aca="false">IFERROR('District Data'!N96/('District Data'!M96*Weeks),0)</f>
        <v>8.59251012145749</v>
      </c>
      <c r="I96" s="24" t="n">
        <f aca="false">IFERROR(SUMIFS('District Data'!$N$5:$N$119,'District Data'!$C$5:$C$119,B96)/(SUMIFS('District Data'!$M$5:$M$119,'District Data'!$C$5:$C$119,B96)*Weeks),0)</f>
        <v>8.40311578665237</v>
      </c>
      <c r="J96" s="24" t="n">
        <f aca="false">IF(TPBasis="NI TP",IF(H96&gt;0,H96,I96),G96)</f>
        <v>8.59251012145749</v>
      </c>
      <c r="K96" s="26" t="n">
        <f aca="false">IFERROR(F96/D96,0)</f>
        <v>0.291202883308195</v>
      </c>
      <c r="L96" s="27" t="n">
        <f aca="false">IFERROR(D96/E96,0)</f>
        <v>3090.96167247387</v>
      </c>
      <c r="M96" s="28" t="n">
        <f aca="false">IFERROR('District Data'!L96/'District Data'!K96-1,0)</f>
        <v>-0.00771778354252684</v>
      </c>
      <c r="N96" s="28" t="n">
        <f aca="false">IFERROR(('District Data'!L96/'District Data'!J96)^(1/2)-1,0)</f>
        <v>0.00228412480407569</v>
      </c>
      <c r="O96" s="28" t="n">
        <f aca="false">IFERROR('District Data'!I96/'District Data'!H96-1,0)</f>
        <v>0.0759137769447047</v>
      </c>
      <c r="P96" s="7" t="str">
        <f aca="false">IF(K96&gt;=PCC_L1,"Layer 01",IF(K96&gt;=PCC_L2,"Layer 02",IF(K96&gt;=PCC_L3,"Layer 03",IF(K96&gt;=PCC_L4,"Layer 04","Layer 05"))))</f>
        <v>Layer 04</v>
      </c>
      <c r="Q96" s="7" t="str">
        <f aca="false">IF(L96&gt;=PPO_L1,"Layer 01",IF(L96&gt;=PPO_L2,"Layer 02",IF(L96&gt;=PPO_L3,"Layer 03",IF(L96&gt;=PPO_L4,"Layer 04","Layer 05"))))</f>
        <v>Layer 04</v>
      </c>
      <c r="R96" s="29" t="n">
        <f aca="false">D96/IdealPPO-E96</f>
        <v>3583.232</v>
      </c>
      <c r="S96" s="29" t="n">
        <f aca="false">IdealTP*Weeks-(Weeks*J96+FirstFill)</f>
        <v>253.189473684211</v>
      </c>
      <c r="T96" s="29" t="n">
        <f aca="false">IF(S96&gt;0,(F96-IdealTP*Weeks*E96)/S96,1000000000000)</f>
        <v>544.538040992808</v>
      </c>
      <c r="U96" s="27" t="n">
        <f aca="false">IF(E96&lt;=0,0,IF(G96&lt;=IdealTP,0,IF(L96&lt;=IdealPPO,0,INT(MIN(T96,R96)+0.000000001))))</f>
        <v>544</v>
      </c>
      <c r="V96" s="7" t="str">
        <f aca="false">IF(E96&lt;=0,"No current outlets",IF(G96&lt;=IdealTP,"TP already at or below ideal",IF(L96&lt;=IdealPPO,"PPO already at or below ideal",IF(T96&lt;=R96,"Stopped by TP reaching ideal","Stopped by PPO reaching ideal"))))</f>
        <v>Stopped by TP reaching ideal</v>
      </c>
      <c r="W96" s="30" t="n">
        <f aca="false">F96+U96*(Weeks*J96+FirstFill)</f>
        <v>1319896.22631579</v>
      </c>
      <c r="X96" s="30" t="n">
        <f aca="false">E96+U96</f>
        <v>1692</v>
      </c>
      <c r="Y96" s="24" t="n">
        <f aca="false">IFERROR(W96/(X96*Weeks),0)</f>
        <v>15.0015483078263</v>
      </c>
      <c r="Z96" s="30" t="n">
        <f aca="false">IFERROR(D96/X96,0)</f>
        <v>2097.17730496454</v>
      </c>
      <c r="AA96" s="7" t="str">
        <f aca="false">IF(AND(K96&gt;=NationalPCC,L96&gt;IdealPPO),"Q1: High PCC, High PPO",IF(K96&gt;=NationalPCC,"Q2: High PCC, Low PPO",IF(L96&gt;IdealPPO,"Q3: Low PCC, High PPO","Q4: Low PCC, Low PPO")))</f>
        <v>Q3: Low PCC, High PPO</v>
      </c>
      <c r="AB96" s="7" t="str">
        <f aca="false">IF(K96&gt;=NationalPCC,IF(L96&gt;IdealPPO,"Phase 1","Phase 2"),"Phase 3")</f>
        <v>Phase 3</v>
      </c>
      <c r="AC96" s="7" t="str">
        <f aca="false">IF(AND(G96&gt;IdealTP,L96&gt;IdealPPO),"High TP, High PPO",IF(G96&gt;IdealTP,"High TP, Low PPO",IF(L96&gt;IdealPPO,"Low TP, High PPO","Low TP, Low PPO")))</f>
        <v>High TP, High PPO</v>
      </c>
      <c r="AD96" s="31" t="n">
        <f aca="false">INDEX(WaveNumbers,MATCH(C96,WaveNames,0))</f>
        <v>1</v>
      </c>
      <c r="AE96" s="32" t="n">
        <f aca="false">IF(U96&gt;0,AD96*10000000+VALUE(RIGHT(AB96,1))*1000000+(1000000-U96)+ROW()/1000000,"")</f>
        <v>13999456.000096</v>
      </c>
      <c r="AF96" s="31" t="n">
        <f aca="false">IF(U96&gt;0,COUNTIFS($AE$5:$AE$119,"&lt;"&amp;AE96)+1,"")</f>
        <v>9</v>
      </c>
      <c r="AG96" s="7" t="str">
        <f aca="false">IF(AF96="","No",IF(AF96&lt;=TopN,"Yes","No"))</f>
        <v>Yes</v>
      </c>
      <c r="AH96" s="30" t="n">
        <f aca="false">INT('District Data'!O96*ConvRate)</f>
        <v>531</v>
      </c>
      <c r="AI96" s="27" t="n">
        <f aca="false">MIN(U96,AH96)</f>
        <v>531</v>
      </c>
      <c r="AJ96" s="7" t="str">
        <f aca="false">IF(U96=0,"No expansion",IF(AH96&lt;U96,"Supply constrained (not enough shops)","Demand constrained (enough shops)"))</f>
        <v>Supply constrained (not enough shops)</v>
      </c>
      <c r="AK96" s="30" t="n">
        <f aca="false">IF(AG96="Yes",AI96,0)</f>
        <v>531</v>
      </c>
      <c r="AL96" s="26" t="n">
        <f aca="false">IF(AG96="Yes",IF(Budget1&gt;=ShortlistFinal,AK96,AK96/ShortlistFinal*Budget1),0)</f>
        <v>313.968957871397</v>
      </c>
      <c r="AM96" s="30" t="n">
        <f aca="false">INT(AL96)</f>
        <v>313</v>
      </c>
      <c r="AN96" s="26" t="n">
        <f aca="false">IF(AND(AG96="Yes",Budget1&lt;ShortlistFinal),AL96-AM96,-1)</f>
        <v>0.968957871396867</v>
      </c>
      <c r="AO96" s="27" t="n">
        <f aca="false">IF(AG96&lt;&gt;"Yes",0,IF(Budget1&gt;=ShortlistFinal,AK96,AM96+IF(COUNTIFS($AN$5:$AN$119,"&gt;"&amp;AN96)+COUNTIFS($AN$5:$AN$119,AN96,$AF$5:$AF$119,"&lt;"&amp;AF96)&lt;Budget1-SUM($AM$5:$AM$119),1,0)))</f>
        <v>314</v>
      </c>
      <c r="AP96" s="26" t="n">
        <f aca="false">IF(AG96="Yes",IF(Budget2&gt;=ShortlistFinal,AK96,AK96/ShortlistFinal*Budget2),0)</f>
        <v>470.953436807095</v>
      </c>
      <c r="AQ96" s="30" t="n">
        <f aca="false">INT(AP96)</f>
        <v>470</v>
      </c>
      <c r="AR96" s="26" t="n">
        <f aca="false">IF(AND(AG96="Yes",Budget2&lt;ShortlistFinal),AP96-AQ96,-1)</f>
        <v>0.953436807095329</v>
      </c>
      <c r="AS96" s="27" t="n">
        <f aca="false">IF(AG96&lt;&gt;"Yes",0,IF(Budget2&gt;=ShortlistFinal,AK96,AQ96+IF(COUNTIFS($AR$5:$AR$119,"&gt;"&amp;AR96)+COUNTIFS($AR$5:$AR$119,AR96,$AF$5:$AF$119,"&lt;"&amp;AF96)&lt;Budget2-SUM($AQ$5:$AQ$119),1,0)))</f>
        <v>471</v>
      </c>
      <c r="AT96" s="26" t="n">
        <f aca="false">AK96*Share2025</f>
        <v>187.411764705882</v>
      </c>
      <c r="AU96" s="26" t="n">
        <f aca="false">AK96*Share2026</f>
        <v>187.411764705882</v>
      </c>
      <c r="AV96" s="26" t="n">
        <f aca="false">AK96*Share2027</f>
        <v>156.176470588235</v>
      </c>
      <c r="AW96" s="31" t="n">
        <f aca="false">INT(AT96)</f>
        <v>187</v>
      </c>
      <c r="AX96" s="31" t="n">
        <f aca="false">INT(AU96)</f>
        <v>187</v>
      </c>
      <c r="AY96" s="31" t="n">
        <f aca="false">INT(AV96)</f>
        <v>156</v>
      </c>
      <c r="AZ96" s="26" t="n">
        <f aca="false">AT96-AW96</f>
        <v>0.411764705882405</v>
      </c>
      <c r="BA96" s="26" t="n">
        <f aca="false">AU96-AX96</f>
        <v>0.411764705882405</v>
      </c>
      <c r="BB96" s="26" t="n">
        <f aca="false">AV96-AY96</f>
        <v>0.176470588235276</v>
      </c>
      <c r="BC96" s="31" t="n">
        <f aca="false">AK96-AW96-AX96-AY96</f>
        <v>1</v>
      </c>
      <c r="BD96" s="27" t="n">
        <f aca="false">AW96+IF((BA96&gt;AZ96)+(BB96&gt;AZ96)&lt;BC96,1,0)</f>
        <v>188</v>
      </c>
      <c r="BE96" s="27" t="n">
        <f aca="false">AX96+IF((AZ96&gt;BA96)+(BB96&gt;BA96)+(AZ96=BA96)&lt;BC96,1,0)</f>
        <v>187</v>
      </c>
      <c r="BF96" s="27" t="n">
        <f aca="false">AY96+IF((AZ96&gt;BB96)+(BA96&gt;BB96)+(AZ96=BB96)+(BA96=BB96)&lt;BC96,1,0)</f>
        <v>156</v>
      </c>
    </row>
    <row r="97" customFormat="false" ht="15" hidden="false" customHeight="false" outlineLevel="0" collapsed="false">
      <c r="A97" s="22" t="str">
        <f aca="false">'District Data'!A97</f>
        <v>Sahiwal</v>
      </c>
      <c r="B97" s="22" t="str">
        <f aca="false">'District Data'!C97</f>
        <v>Multan Region</v>
      </c>
      <c r="C97" s="22" t="str">
        <f aca="false">'District Data'!D97</f>
        <v>Neighbouring</v>
      </c>
      <c r="D97" s="23" t="n">
        <f aca="false">ROUND('District Data'!E97*'District Data'!F97,0)</f>
        <v>790158</v>
      </c>
      <c r="E97" s="23" t="n">
        <f aca="false">'District Data'!I97</f>
        <v>166</v>
      </c>
      <c r="F97" s="23" t="n">
        <f aca="false">'District Data'!L97</f>
        <v>141229.4</v>
      </c>
      <c r="G97" s="24" t="n">
        <f aca="false">IFERROR(F97/(E97*Weeks),0)</f>
        <v>16.3611445783133</v>
      </c>
      <c r="H97" s="25" t="n">
        <f aca="false">IFERROR('District Data'!N97/('District Data'!M97*Weeks),0)</f>
        <v>11.513717948718</v>
      </c>
      <c r="I97" s="24" t="n">
        <f aca="false">IFERROR(SUMIFS('District Data'!$N$5:$N$119,'District Data'!$C$5:$C$119,B97)/(SUMIFS('District Data'!$M$5:$M$119,'District Data'!$C$5:$C$119,B97)*Weeks),0)</f>
        <v>8.16663285109386</v>
      </c>
      <c r="J97" s="24" t="n">
        <f aca="false">IF(TPBasis="NI TP",IF(H97&gt;0,H97,I97),G97)</f>
        <v>11.513717948718</v>
      </c>
      <c r="K97" s="26" t="n">
        <f aca="false">IFERROR(F97/D97,0)</f>
        <v>0.178735645276008</v>
      </c>
      <c r="L97" s="27" t="n">
        <f aca="false">IFERROR(D97/E97,0)</f>
        <v>4759.98795180723</v>
      </c>
      <c r="M97" s="28" t="n">
        <f aca="false">IFERROR('District Data'!L97/'District Data'!K97-1,0)</f>
        <v>-0.0335815252684298</v>
      </c>
      <c r="N97" s="28" t="n">
        <f aca="false">IFERROR(('District Data'!L97/'District Data'!J97)^(1/2)-1,0)</f>
        <v>0.0117166406327691</v>
      </c>
      <c r="O97" s="28" t="n">
        <f aca="false">IFERROR('District Data'!I97/'District Data'!H97-1,0)</f>
        <v>0.0121951219512195</v>
      </c>
      <c r="P97" s="7" t="str">
        <f aca="false">IF(K97&gt;=PCC_L1,"Layer 01",IF(K97&gt;=PCC_L2,"Layer 02",IF(K97&gt;=PCC_L3,"Layer 03",IF(K97&gt;=PCC_L4,"Layer 04","Layer 05"))))</f>
        <v>Layer 05</v>
      </c>
      <c r="Q97" s="7" t="str">
        <f aca="false">IF(L97&gt;=PPO_L1,"Layer 01",IF(L97&gt;=PPO_L2,"Layer 02",IF(L97&gt;=PPO_L3,"Layer 03",IF(L97&gt;=PPO_L4,"Layer 04","Layer 05"))))</f>
        <v>Layer 03</v>
      </c>
      <c r="R97" s="29" t="n">
        <f aca="false">D97/IdealPPO-E97</f>
        <v>887.544</v>
      </c>
      <c r="S97" s="29" t="n">
        <f aca="false">IdealTP*Weeks-(Weeks*J97+FirstFill)</f>
        <v>101.286666666667</v>
      </c>
      <c r="T97" s="29" t="n">
        <f aca="false">IF(S97&gt;0,(F97-IdealTP*Weeks*E97)/S97,1000000000000)</f>
        <v>116.001448035279</v>
      </c>
      <c r="U97" s="27" t="n">
        <f aca="false">IF(E97&lt;=0,0,IF(G97&lt;=IdealTP,0,IF(L97&lt;=IdealPPO,0,INT(MIN(T97,R97)+0.000000001))))</f>
        <v>116</v>
      </c>
      <c r="V97" s="7" t="str">
        <f aca="false">IF(E97&lt;=0,"No current outlets",IF(G97&lt;=IdealTP,"TP already at or below ideal",IF(L97&lt;=IdealPPO,"PPO already at or below ideal",IF(T97&lt;=R97,"Stopped by TP reaching ideal","Stopped by PPO reaching ideal"))))</f>
        <v>Stopped by TP reaching ideal</v>
      </c>
      <c r="W97" s="30" t="n">
        <f aca="false">F97+U97*(Weeks*J97+FirstFill)</f>
        <v>219960.146666667</v>
      </c>
      <c r="X97" s="30" t="n">
        <f aca="false">E97+U97</f>
        <v>282</v>
      </c>
      <c r="Y97" s="24" t="n">
        <f aca="false">IFERROR(W97/(X97*Weeks),0)</f>
        <v>15.0000100018185</v>
      </c>
      <c r="Z97" s="30" t="n">
        <f aca="false">IFERROR(D97/X97,0)</f>
        <v>2801.97872340426</v>
      </c>
      <c r="AA97" s="7" t="str">
        <f aca="false">IF(AND(K97&gt;=NationalPCC,L97&gt;IdealPPO),"Q1: High PCC, High PPO",IF(K97&gt;=NationalPCC,"Q2: High PCC, Low PPO",IF(L97&gt;IdealPPO,"Q3: Low PCC, High PPO","Q4: Low PCC, Low PPO")))</f>
        <v>Q3: Low PCC, High PPO</v>
      </c>
      <c r="AB97" s="7" t="str">
        <f aca="false">IF(K97&gt;=NationalPCC,IF(L97&gt;IdealPPO,"Phase 1","Phase 2"),"Phase 3")</f>
        <v>Phase 3</v>
      </c>
      <c r="AC97" s="7" t="str">
        <f aca="false">IF(AND(G97&gt;IdealTP,L97&gt;IdealPPO),"High TP, High PPO",IF(G97&gt;IdealTP,"High TP, Low PPO",IF(L97&gt;IdealPPO,"Low TP, High PPO","Low TP, Low PPO")))</f>
        <v>High TP, High PPO</v>
      </c>
      <c r="AD97" s="31" t="n">
        <f aca="false">INDEX(WaveNumbers,MATCH(C97,WaveNames,0))</f>
        <v>2</v>
      </c>
      <c r="AE97" s="32" t="n">
        <f aca="false">IF(U97&gt;0,AD97*10000000+VALUE(RIGHT(AB97,1))*1000000+(1000000-U97)+ROW()/1000000,"")</f>
        <v>23999884.000097</v>
      </c>
      <c r="AF97" s="31" t="n">
        <f aca="false">IF(U97&gt;0,COUNTIFS($AE$5:$AE$119,"&lt;"&amp;AE97)+1,"")</f>
        <v>26</v>
      </c>
      <c r="AG97" s="7" t="str">
        <f aca="false">IF(AF97="","No",IF(AF97&lt;=TopN,"Yes","No"))</f>
        <v>Yes</v>
      </c>
      <c r="AH97" s="30" t="n">
        <f aca="false">INT('District Data'!O97*ConvRate)</f>
        <v>28</v>
      </c>
      <c r="AI97" s="27" t="n">
        <f aca="false">MIN(U97,AH97)</f>
        <v>28</v>
      </c>
      <c r="AJ97" s="7" t="str">
        <f aca="false">IF(U97=0,"No expansion",IF(AH97&lt;U97,"Supply constrained (not enough shops)","Demand constrained (enough shops)"))</f>
        <v>Supply constrained (not enough shops)</v>
      </c>
      <c r="AK97" s="30" t="n">
        <f aca="false">IF(AG97="Yes",AI97,0)</f>
        <v>28</v>
      </c>
      <c r="AL97" s="26" t="n">
        <f aca="false">IF(AG97="Yes",IF(Budget1&gt;=ShortlistFinal,AK97,AK97/ShortlistFinal*Budget1),0)</f>
        <v>16.5558019216556</v>
      </c>
      <c r="AM97" s="30" t="n">
        <f aca="false">INT(AL97)</f>
        <v>16</v>
      </c>
      <c r="AN97" s="26" t="n">
        <f aca="false">IF(AND(AG97="Yes",Budget1&lt;ShortlistFinal),AL97-AM97,-1)</f>
        <v>0.555801921655579</v>
      </c>
      <c r="AO97" s="27" t="n">
        <f aca="false">IF(AG97&lt;&gt;"Yes",0,IF(Budget1&gt;=ShortlistFinal,AK97,AM97+IF(COUNTIFS($AN$5:$AN$119,"&gt;"&amp;AN97)+COUNTIFS($AN$5:$AN$119,AN97,$AF$5:$AF$119,"&lt;"&amp;AF97)&lt;Budget1-SUM($AM$5:$AM$119),1,0)))</f>
        <v>17</v>
      </c>
      <c r="AP97" s="26" t="n">
        <f aca="false">IF(AG97="Yes",IF(Budget2&gt;=ShortlistFinal,AK97,AK97/ShortlistFinal*Budget2),0)</f>
        <v>24.8337028824834</v>
      </c>
      <c r="AQ97" s="30" t="n">
        <f aca="false">INT(AP97)</f>
        <v>24</v>
      </c>
      <c r="AR97" s="26" t="n">
        <f aca="false">IF(AND(AG97="Yes",Budget2&lt;ShortlistFinal),AP97-AQ97,-1)</f>
        <v>0.833702882483369</v>
      </c>
      <c r="AS97" s="27" t="n">
        <f aca="false">IF(AG97&lt;&gt;"Yes",0,IF(Budget2&gt;=ShortlistFinal,AK97,AQ97+IF(COUNTIFS($AR$5:$AR$119,"&gt;"&amp;AR97)+COUNTIFS($AR$5:$AR$119,AR97,$AF$5:$AF$119,"&lt;"&amp;AF97)&lt;Budget2-SUM($AQ$5:$AQ$119),1,0)))</f>
        <v>25</v>
      </c>
      <c r="AT97" s="26" t="n">
        <f aca="false">AK97*Share2025</f>
        <v>9.88235294117647</v>
      </c>
      <c r="AU97" s="26" t="n">
        <f aca="false">AK97*Share2026</f>
        <v>9.88235294117647</v>
      </c>
      <c r="AV97" s="26" t="n">
        <f aca="false">AK97*Share2027</f>
        <v>8.23529411764706</v>
      </c>
      <c r="AW97" s="31" t="n">
        <f aca="false">INT(AT97)</f>
        <v>9</v>
      </c>
      <c r="AX97" s="31" t="n">
        <f aca="false">INT(AU97)</f>
        <v>9</v>
      </c>
      <c r="AY97" s="31" t="n">
        <f aca="false">INT(AV97)</f>
        <v>8</v>
      </c>
      <c r="AZ97" s="26" t="n">
        <f aca="false">AT97-AW97</f>
        <v>0.882352941176473</v>
      </c>
      <c r="BA97" s="26" t="n">
        <f aca="false">AU97-AX97</f>
        <v>0.882352941176473</v>
      </c>
      <c r="BB97" s="26" t="n">
        <f aca="false">AV97-AY97</f>
        <v>0.235294117647058</v>
      </c>
      <c r="BC97" s="31" t="n">
        <f aca="false">AK97-AW97-AX97-AY97</f>
        <v>2</v>
      </c>
      <c r="BD97" s="27" t="n">
        <f aca="false">AW97+IF((BA97&gt;AZ97)+(BB97&gt;AZ97)&lt;BC97,1,0)</f>
        <v>10</v>
      </c>
      <c r="BE97" s="27" t="n">
        <f aca="false">AX97+IF((AZ97&gt;BA97)+(BB97&gt;BA97)+(AZ97=BA97)&lt;BC97,1,0)</f>
        <v>10</v>
      </c>
      <c r="BF97" s="27" t="n">
        <f aca="false">AY97+IF((AZ97&gt;BB97)+(BA97&gt;BB97)+(AZ97=BB97)+(BA97=BB97)&lt;BC97,1,0)</f>
        <v>8</v>
      </c>
    </row>
    <row r="98" customFormat="false" ht="15" hidden="false" customHeight="false" outlineLevel="0" collapsed="false">
      <c r="A98" s="22" t="str">
        <f aca="false">'District Data'!A98</f>
        <v>Sanghar</v>
      </c>
      <c r="B98" s="22" t="str">
        <f aca="false">'District Data'!C98</f>
        <v>Karachi Region</v>
      </c>
      <c r="C98" s="22" t="str">
        <f aca="false">'District Data'!D98</f>
        <v>Neighbouring</v>
      </c>
      <c r="D98" s="23" t="n">
        <f aca="false">ROUND('District Data'!E98*'District Data'!F98,0)</f>
        <v>558048</v>
      </c>
      <c r="E98" s="23" t="n">
        <f aca="false">'District Data'!I98</f>
        <v>121</v>
      </c>
      <c r="F98" s="23" t="n">
        <f aca="false">'District Data'!L98</f>
        <v>93041</v>
      </c>
      <c r="G98" s="24" t="n">
        <f aca="false">IFERROR(F98/(E98*Weeks),0)</f>
        <v>14.7871900826446</v>
      </c>
      <c r="H98" s="25" t="n">
        <f aca="false">IFERROR('District Data'!N98/('District Data'!M98*Weeks),0)</f>
        <v>11.5377136752137</v>
      </c>
      <c r="I98" s="24" t="n">
        <f aca="false">IFERROR(SUMIFS('District Data'!$N$5:$N$119,'District Data'!$C$5:$C$119,B98)/(SUMIFS('District Data'!$M$5:$M$119,'District Data'!$C$5:$C$119,B98)*Weeks),0)</f>
        <v>12.952446872194</v>
      </c>
      <c r="J98" s="24" t="n">
        <f aca="false">IF(TPBasis="NI TP",IF(H98&gt;0,H98,I98),G98)</f>
        <v>11.5377136752137</v>
      </c>
      <c r="K98" s="26" t="n">
        <f aca="false">IFERROR(F98/D98,0)</f>
        <v>0.166725801364757</v>
      </c>
      <c r="L98" s="27" t="n">
        <f aca="false">IFERROR(D98/E98,0)</f>
        <v>4611.96694214876</v>
      </c>
      <c r="M98" s="28" t="n">
        <f aca="false">IFERROR('District Data'!L98/'District Data'!K98-1,0)</f>
        <v>0.13652021381595</v>
      </c>
      <c r="N98" s="28" t="n">
        <f aca="false">IFERROR(('District Data'!L98/'District Data'!J98)^(1/2)-1,0)</f>
        <v>0.0928881162091064</v>
      </c>
      <c r="O98" s="28" t="n">
        <f aca="false">IFERROR('District Data'!I98/'District Data'!H98-1,0)</f>
        <v>0.163461538461539</v>
      </c>
      <c r="P98" s="7" t="str">
        <f aca="false">IF(K98&gt;=PCC_L1,"Layer 01",IF(K98&gt;=PCC_L2,"Layer 02",IF(K98&gt;=PCC_L3,"Layer 03",IF(K98&gt;=PCC_L4,"Layer 04","Layer 05"))))</f>
        <v>Layer 05</v>
      </c>
      <c r="Q98" s="7" t="str">
        <f aca="false">IF(L98&gt;=PPO_L1,"Layer 01",IF(L98&gt;=PPO_L2,"Layer 02",IF(L98&gt;=PPO_L3,"Layer 03",IF(L98&gt;=PPO_L4,"Layer 04","Layer 05"))))</f>
        <v>Layer 03</v>
      </c>
      <c r="R98" s="29" t="n">
        <f aca="false">D98/IdealPPO-E98</f>
        <v>623.064</v>
      </c>
      <c r="S98" s="29" t="n">
        <f aca="false">IdealTP*Weeks-(Weeks*J98+FirstFill)</f>
        <v>100.038888888889</v>
      </c>
      <c r="T98" s="29" t="n">
        <f aca="false">IF(S98&gt;0,(F98-IdealTP*Weeks*E98)/S98,1000000000000)</f>
        <v>-13.3847948020214</v>
      </c>
      <c r="U98" s="27" t="n">
        <f aca="false">IF(E98&lt;=0,0,IF(G98&lt;=IdealTP,0,IF(L98&lt;=IdealPPO,0,INT(MIN(T98,R98)+0.000000001))))</f>
        <v>0</v>
      </c>
      <c r="V98" s="7" t="str">
        <f aca="false">IF(E98&lt;=0,"No current outlets",IF(G98&lt;=IdealTP,"TP already at or below ideal",IF(L98&lt;=IdealPPO,"PPO already at or below ideal",IF(T98&lt;=R98,"Stopped by TP reaching ideal","Stopped by PPO reaching ideal"))))</f>
        <v>TP already at or below ideal</v>
      </c>
      <c r="W98" s="30" t="n">
        <f aca="false">F98+U98*(Weeks*J98+FirstFill)</f>
        <v>93041</v>
      </c>
      <c r="X98" s="30" t="n">
        <f aca="false">E98+U98</f>
        <v>121</v>
      </c>
      <c r="Y98" s="24" t="n">
        <f aca="false">IFERROR(W98/(X98*Weeks),0)</f>
        <v>14.7871900826446</v>
      </c>
      <c r="Z98" s="30" t="n">
        <f aca="false">IFERROR(D98/X98,0)</f>
        <v>4611.96694214876</v>
      </c>
      <c r="AA98" s="7" t="str">
        <f aca="false">IF(AND(K98&gt;=NationalPCC,L98&gt;IdealPPO),"Q1: High PCC, High PPO",IF(K98&gt;=NationalPCC,"Q2: High PCC, Low PPO",IF(L98&gt;IdealPPO,"Q3: Low PCC, High PPO","Q4: Low PCC, Low PPO")))</f>
        <v>Q3: Low PCC, High PPO</v>
      </c>
      <c r="AB98" s="7" t="str">
        <f aca="false">IF(K98&gt;=NationalPCC,IF(L98&gt;IdealPPO,"Phase 1","Phase 2"),"Phase 3")</f>
        <v>Phase 3</v>
      </c>
      <c r="AC98" s="7" t="str">
        <f aca="false">IF(AND(G98&gt;IdealTP,L98&gt;IdealPPO),"High TP, High PPO",IF(G98&gt;IdealTP,"High TP, Low PPO",IF(L98&gt;IdealPPO,"Low TP, High PPO","Low TP, Low PPO")))</f>
        <v>Low TP, High PPO</v>
      </c>
      <c r="AD98" s="31" t="n">
        <f aca="false">INDEX(WaveNumbers,MATCH(C98,WaveNames,0))</f>
        <v>2</v>
      </c>
      <c r="AE98" s="32" t="str">
        <f aca="false">IF(U98&gt;0,AD98*10000000+VALUE(RIGHT(AB98,1))*1000000+(1000000-U98)+ROW()/1000000,"")</f>
        <v/>
      </c>
      <c r="AF98" s="31" t="str">
        <f aca="false">IF(U98&gt;0,COUNTIFS($AE$5:$AE$119,"&lt;"&amp;AE98)+1,"")</f>
        <v/>
      </c>
      <c r="AG98" s="7" t="str">
        <f aca="false">IF(AF98="","No",IF(AF98&lt;=TopN,"Yes","No"))</f>
        <v>No</v>
      </c>
      <c r="AH98" s="30" t="n">
        <f aca="false">INT('District Data'!O98*ConvRate)</f>
        <v>23</v>
      </c>
      <c r="AI98" s="27" t="n">
        <f aca="false">MIN(U98,AH98)</f>
        <v>0</v>
      </c>
      <c r="AJ98" s="7" t="str">
        <f aca="false">IF(U98=0,"No expansion",IF(AH98&lt;U98,"Supply constrained (not enough shops)","Demand constrained (enough shops)"))</f>
        <v>No expansion</v>
      </c>
      <c r="AK98" s="30" t="n">
        <f aca="false">IF(AG98="Yes",AI98,0)</f>
        <v>0</v>
      </c>
      <c r="AL98" s="26" t="n">
        <f aca="false">IF(AG98="Yes",IF(Budget1&gt;=ShortlistFinal,AK98,AK98/ShortlistFinal*Budget1),0)</f>
        <v>0</v>
      </c>
      <c r="AM98" s="30" t="n">
        <f aca="false">INT(AL98)</f>
        <v>0</v>
      </c>
      <c r="AN98" s="26" t="n">
        <f aca="false">IF(AND(AG98="Yes",Budget1&lt;ShortlistFinal),AL98-AM98,-1)</f>
        <v>-1</v>
      </c>
      <c r="AO98" s="27" t="n">
        <f aca="false">IF(AG98&lt;&gt;"Yes",0,IF(Budget1&gt;=ShortlistFinal,AK98,AM98+IF(COUNTIFS($AN$5:$AN$119,"&gt;"&amp;AN98)+COUNTIFS($AN$5:$AN$119,AN98,$AF$5:$AF$119,"&lt;"&amp;AF98)&lt;Budget1-SUM($AM$5:$AM$119),1,0)))</f>
        <v>0</v>
      </c>
      <c r="AP98" s="26" t="n">
        <f aca="false">IF(AG98="Yes",IF(Budget2&gt;=ShortlistFinal,AK98,AK98/ShortlistFinal*Budget2),0)</f>
        <v>0</v>
      </c>
      <c r="AQ98" s="30" t="n">
        <f aca="false">INT(AP98)</f>
        <v>0</v>
      </c>
      <c r="AR98" s="26" t="n">
        <f aca="false">IF(AND(AG98="Yes",Budget2&lt;ShortlistFinal),AP98-AQ98,-1)</f>
        <v>-1</v>
      </c>
      <c r="AS98" s="27" t="n">
        <f aca="false">IF(AG98&lt;&gt;"Yes",0,IF(Budget2&gt;=ShortlistFinal,AK98,AQ98+IF(COUNTIFS($AR$5:$AR$119,"&gt;"&amp;AR98)+COUNTIFS($AR$5:$AR$119,AR98,$AF$5:$AF$119,"&lt;"&amp;AF98)&lt;Budget2-SUM($AQ$5:$AQ$119),1,0)))</f>
        <v>0</v>
      </c>
      <c r="AT98" s="26" t="n">
        <f aca="false">AK98*Share2025</f>
        <v>0</v>
      </c>
      <c r="AU98" s="26" t="n">
        <f aca="false">AK98*Share2026</f>
        <v>0</v>
      </c>
      <c r="AV98" s="26" t="n">
        <f aca="false">AK98*Share2027</f>
        <v>0</v>
      </c>
      <c r="AW98" s="31" t="n">
        <f aca="false">INT(AT98)</f>
        <v>0</v>
      </c>
      <c r="AX98" s="31" t="n">
        <f aca="false">INT(AU98)</f>
        <v>0</v>
      </c>
      <c r="AY98" s="31" t="n">
        <f aca="false">INT(AV98)</f>
        <v>0</v>
      </c>
      <c r="AZ98" s="26" t="n">
        <f aca="false">AT98-AW98</f>
        <v>0</v>
      </c>
      <c r="BA98" s="26" t="n">
        <f aca="false">AU98-AX98</f>
        <v>0</v>
      </c>
      <c r="BB98" s="26" t="n">
        <f aca="false">AV98-AY98</f>
        <v>0</v>
      </c>
      <c r="BC98" s="31" t="n">
        <f aca="false">AK98-AW98-AX98-AY98</f>
        <v>0</v>
      </c>
      <c r="BD98" s="27" t="n">
        <f aca="false">AW98+IF((BA98&gt;AZ98)+(BB98&gt;AZ98)&lt;BC98,1,0)</f>
        <v>0</v>
      </c>
      <c r="BE98" s="27" t="n">
        <f aca="false">AX98+IF((AZ98&gt;BA98)+(BB98&gt;BA98)+(AZ98=BA98)&lt;BC98,1,0)</f>
        <v>0</v>
      </c>
      <c r="BF98" s="27" t="n">
        <f aca="false">AY98+IF((AZ98&gt;BB98)+(BA98&gt;BB98)+(AZ98=BB98)+(BA98=BB98)&lt;BC98,1,0)</f>
        <v>0</v>
      </c>
    </row>
    <row r="99" customFormat="false" ht="15" hidden="false" customHeight="false" outlineLevel="0" collapsed="false">
      <c r="A99" s="22" t="str">
        <f aca="false">'District Data'!A99</f>
        <v>Sargodha</v>
      </c>
      <c r="B99" s="22" t="str">
        <f aca="false">'District Data'!C99</f>
        <v>Lahore Region</v>
      </c>
      <c r="C99" s="22" t="str">
        <f aca="false">'District Data'!D99</f>
        <v>Stronghold</v>
      </c>
      <c r="D99" s="23" t="n">
        <f aca="false">ROUND('District Data'!E99*'District Data'!F99,0)</f>
        <v>1878341</v>
      </c>
      <c r="E99" s="23" t="n">
        <f aca="false">'District Data'!I99</f>
        <v>357</v>
      </c>
      <c r="F99" s="23" t="n">
        <f aca="false">'District Data'!L99</f>
        <v>332050</v>
      </c>
      <c r="G99" s="24" t="n">
        <f aca="false">IFERROR(F99/(E99*Weeks),0)</f>
        <v>17.8867700926524</v>
      </c>
      <c r="H99" s="25" t="n">
        <f aca="false">IFERROR('District Data'!N99/('District Data'!M99*Weeks),0)</f>
        <v>7.25197238658777</v>
      </c>
      <c r="I99" s="24" t="n">
        <f aca="false">IFERROR(SUMIFS('District Data'!$N$5:$N$119,'District Data'!$C$5:$C$119,B99)/(SUMIFS('District Data'!$M$5:$M$119,'District Data'!$C$5:$C$119,B99)*Weeks),0)</f>
        <v>11.5536217630433</v>
      </c>
      <c r="J99" s="24" t="n">
        <f aca="false">IF(TPBasis="NI TP",IF(H99&gt;0,H99,I99),G99)</f>
        <v>7.25197238658777</v>
      </c>
      <c r="K99" s="26" t="n">
        <f aca="false">IFERROR(F99/D99,0)</f>
        <v>0.176778337905631</v>
      </c>
      <c r="L99" s="27" t="n">
        <f aca="false">IFERROR(D99/E99,0)</f>
        <v>5261.4593837535</v>
      </c>
      <c r="M99" s="28" t="n">
        <f aca="false">IFERROR('District Data'!L99/'District Data'!K99-1,0)</f>
        <v>-0.0276202128488253</v>
      </c>
      <c r="N99" s="28" t="n">
        <f aca="false">IFERROR(('District Data'!L99/'District Data'!J99)^(1/2)-1,0)</f>
        <v>0.000749071510507404</v>
      </c>
      <c r="O99" s="28" t="n">
        <f aca="false">IFERROR('District Data'!I99/'District Data'!H99-1,0)</f>
        <v>0.05</v>
      </c>
      <c r="P99" s="7" t="str">
        <f aca="false">IF(K99&gt;=PCC_L1,"Layer 01",IF(K99&gt;=PCC_L2,"Layer 02",IF(K99&gt;=PCC_L3,"Layer 03",IF(K99&gt;=PCC_L4,"Layer 04","Layer 05"))))</f>
        <v>Layer 05</v>
      </c>
      <c r="Q99" s="7" t="str">
        <f aca="false">IF(L99&gt;=PPO_L1,"Layer 01",IF(L99&gt;=PPO_L2,"Layer 02",IF(L99&gt;=PPO_L3,"Layer 03",IF(L99&gt;=PPO_L4,"Layer 04","Layer 05"))))</f>
        <v>Layer 03</v>
      </c>
      <c r="R99" s="29" t="n">
        <f aca="false">D99/IdealPPO-E99</f>
        <v>2147.45466666667</v>
      </c>
      <c r="S99" s="29" t="n">
        <f aca="false">IdealTP*Weeks-(Weeks*J99+FirstFill)</f>
        <v>322.897435897436</v>
      </c>
      <c r="T99" s="29" t="n">
        <f aca="false">IF(S99&gt;0,(F99-IdealTP*Weeks*E99)/S99,1000000000000)</f>
        <v>165.96601286429</v>
      </c>
      <c r="U99" s="27" t="n">
        <f aca="false">IF(E99&lt;=0,0,IF(G99&lt;=IdealTP,0,IF(L99&lt;=IdealPPO,0,INT(MIN(T99,R99)+0.000000001))))</f>
        <v>165</v>
      </c>
      <c r="V99" s="7" t="str">
        <f aca="false">IF(E99&lt;=0,"No current outlets",IF(G99&lt;=IdealTP,"TP already at or below ideal",IF(L99&lt;=IdealPPO,"PPO already at or below ideal",IF(T99&lt;=R99,"Stopped by TP reaching ideal","Stopped by PPO reaching ideal"))))</f>
        <v>Stopped by TP reaching ideal</v>
      </c>
      <c r="W99" s="30" t="n">
        <f aca="false">F99+U99*(Weeks*J99+FirstFill)</f>
        <v>407471.923076923</v>
      </c>
      <c r="X99" s="30" t="n">
        <f aca="false">E99+U99</f>
        <v>522</v>
      </c>
      <c r="Y99" s="24" t="n">
        <f aca="false">IFERROR(W99/(X99*Weeks),0)</f>
        <v>15.0114914189848</v>
      </c>
      <c r="Z99" s="30" t="n">
        <f aca="false">IFERROR(D99/X99,0)</f>
        <v>3598.35440613027</v>
      </c>
      <c r="AA99" s="7" t="str">
        <f aca="false">IF(AND(K99&gt;=NationalPCC,L99&gt;IdealPPO),"Q1: High PCC, High PPO",IF(K99&gt;=NationalPCC,"Q2: High PCC, Low PPO",IF(L99&gt;IdealPPO,"Q3: Low PCC, High PPO","Q4: Low PCC, Low PPO")))</f>
        <v>Q3: Low PCC, High PPO</v>
      </c>
      <c r="AB99" s="7" t="str">
        <f aca="false">IF(K99&gt;=NationalPCC,IF(L99&gt;IdealPPO,"Phase 1","Phase 2"),"Phase 3")</f>
        <v>Phase 3</v>
      </c>
      <c r="AC99" s="7" t="str">
        <f aca="false">IF(AND(G99&gt;IdealTP,L99&gt;IdealPPO),"High TP, High PPO",IF(G99&gt;IdealTP,"High TP, Low PPO",IF(L99&gt;IdealPPO,"Low TP, High PPO","Low TP, Low PPO")))</f>
        <v>High TP, High PPO</v>
      </c>
      <c r="AD99" s="31" t="n">
        <f aca="false">INDEX(WaveNumbers,MATCH(C99,WaveNames,0))</f>
        <v>1</v>
      </c>
      <c r="AE99" s="32" t="n">
        <f aca="false">IF(U99&gt;0,AD99*10000000+VALUE(RIGHT(AB99,1))*1000000+(1000000-U99)+ROW()/1000000,"")</f>
        <v>13999835.000099</v>
      </c>
      <c r="AF99" s="31" t="n">
        <f aca="false">IF(U99&gt;0,COUNTIFS($AE$5:$AE$119,"&lt;"&amp;AE99)+1,"")</f>
        <v>13</v>
      </c>
      <c r="AG99" s="7" t="str">
        <f aca="false">IF(AF99="","No",IF(AF99&lt;=TopN,"Yes","No"))</f>
        <v>Yes</v>
      </c>
      <c r="AH99" s="30" t="n">
        <f aca="false">INT('District Data'!O99*ConvRate)</f>
        <v>86</v>
      </c>
      <c r="AI99" s="27" t="n">
        <f aca="false">MIN(U99,AH99)</f>
        <v>86</v>
      </c>
      <c r="AJ99" s="7" t="str">
        <f aca="false">IF(U99=0,"No expansion",IF(AH99&lt;U99,"Supply constrained (not enough shops)","Demand constrained (enough shops)"))</f>
        <v>Supply constrained (not enough shops)</v>
      </c>
      <c r="AK99" s="30" t="n">
        <f aca="false">IF(AG99="Yes",AI99,0)</f>
        <v>86</v>
      </c>
      <c r="AL99" s="26" t="n">
        <f aca="false">IF(AG99="Yes",IF(Budget1&gt;=ShortlistFinal,AK99,AK99/ShortlistFinal*Budget1),0)</f>
        <v>50.849963045085</v>
      </c>
      <c r="AM99" s="30" t="n">
        <f aca="false">INT(AL99)</f>
        <v>50</v>
      </c>
      <c r="AN99" s="26" t="n">
        <f aca="false">IF(AND(AG99="Yes",Budget1&lt;ShortlistFinal),AL99-AM99,-1)</f>
        <v>0.849963045084998</v>
      </c>
      <c r="AO99" s="27" t="n">
        <f aca="false">IF(AG99&lt;&gt;"Yes",0,IF(Budget1&gt;=ShortlistFinal,AK99,AM99+IF(COUNTIFS($AN$5:$AN$119,"&gt;"&amp;AN99)+COUNTIFS($AN$5:$AN$119,AN99,$AF$5:$AF$119,"&lt;"&amp;AF99)&lt;Budget1-SUM($AM$5:$AM$119),1,0)))</f>
        <v>51</v>
      </c>
      <c r="AP99" s="26" t="n">
        <f aca="false">IF(AG99="Yes",IF(Budget2&gt;=ShortlistFinal,AK99,AK99/ShortlistFinal*Budget2),0)</f>
        <v>76.2749445676275</v>
      </c>
      <c r="AQ99" s="30" t="n">
        <f aca="false">INT(AP99)</f>
        <v>76</v>
      </c>
      <c r="AR99" s="26" t="n">
        <f aca="false">IF(AND(AG99="Yes",Budget2&lt;ShortlistFinal),AP99-AQ99,-1)</f>
        <v>0.2749445676275</v>
      </c>
      <c r="AS99" s="27" t="n">
        <f aca="false">IF(AG99&lt;&gt;"Yes",0,IF(Budget2&gt;=ShortlistFinal,AK99,AQ99+IF(COUNTIFS($AR$5:$AR$119,"&gt;"&amp;AR99)+COUNTIFS($AR$5:$AR$119,AR99,$AF$5:$AF$119,"&lt;"&amp;AF99)&lt;Budget2-SUM($AQ$5:$AQ$119),1,0)))</f>
        <v>76</v>
      </c>
      <c r="AT99" s="26" t="n">
        <f aca="false">AK99*Share2025</f>
        <v>30.3529411764706</v>
      </c>
      <c r="AU99" s="26" t="n">
        <f aca="false">AK99*Share2026</f>
        <v>30.3529411764706</v>
      </c>
      <c r="AV99" s="26" t="n">
        <f aca="false">AK99*Share2027</f>
        <v>25.2941176470588</v>
      </c>
      <c r="AW99" s="31" t="n">
        <f aca="false">INT(AT99)</f>
        <v>30</v>
      </c>
      <c r="AX99" s="31" t="n">
        <f aca="false">INT(AU99)</f>
        <v>30</v>
      </c>
      <c r="AY99" s="31" t="n">
        <f aca="false">INT(AV99)</f>
        <v>25</v>
      </c>
      <c r="AZ99" s="26" t="n">
        <f aca="false">AT99-AW99</f>
        <v>0.352941176470594</v>
      </c>
      <c r="BA99" s="26" t="n">
        <f aca="false">AU99-AX99</f>
        <v>0.352941176470594</v>
      </c>
      <c r="BB99" s="26" t="n">
        <f aca="false">AV99-AY99</f>
        <v>0.294117647058819</v>
      </c>
      <c r="BC99" s="31" t="n">
        <f aca="false">AK99-AW99-AX99-AY99</f>
        <v>1</v>
      </c>
      <c r="BD99" s="27" t="n">
        <f aca="false">AW99+IF((BA99&gt;AZ99)+(BB99&gt;AZ99)&lt;BC99,1,0)</f>
        <v>31</v>
      </c>
      <c r="BE99" s="27" t="n">
        <f aca="false">AX99+IF((AZ99&gt;BA99)+(BB99&gt;BA99)+(AZ99=BA99)&lt;BC99,1,0)</f>
        <v>30</v>
      </c>
      <c r="BF99" s="27" t="n">
        <f aca="false">AY99+IF((AZ99&gt;BB99)+(BA99&gt;BB99)+(AZ99=BB99)+(BA99=BB99)&lt;BC99,1,0)</f>
        <v>25</v>
      </c>
    </row>
    <row r="100" customFormat="false" ht="15" hidden="false" customHeight="false" outlineLevel="0" collapsed="false">
      <c r="A100" s="22" t="str">
        <f aca="false">'District Data'!A100</f>
        <v>Shangla</v>
      </c>
      <c r="B100" s="22" t="str">
        <f aca="false">'District Data'!C100</f>
        <v>Islamabad Region</v>
      </c>
      <c r="C100" s="22" t="str">
        <f aca="false">'District Data'!D100</f>
        <v>Rest</v>
      </c>
      <c r="D100" s="23" t="n">
        <f aca="false">ROUND('District Data'!E100*'District Data'!F100,0)</f>
        <v>73225</v>
      </c>
      <c r="E100" s="23" t="n">
        <f aca="false">'District Data'!I100</f>
        <v>9</v>
      </c>
      <c r="F100" s="23" t="n">
        <f aca="false">'District Data'!L100</f>
        <v>7989.6</v>
      </c>
      <c r="G100" s="24" t="n">
        <f aca="false">IFERROR(F100/(E100*Weeks),0)</f>
        <v>17.0717948717949</v>
      </c>
      <c r="H100" s="25" t="n">
        <f aca="false">IFERROR('District Data'!N100/('District Data'!M100*Weeks),0)</f>
        <v>0</v>
      </c>
      <c r="I100" s="24" t="n">
        <f aca="false">IFERROR(SUMIFS('District Data'!$N$5:$N$119,'District Data'!$C$5:$C$119,B100)/(SUMIFS('District Data'!$M$5:$M$119,'District Data'!$C$5:$C$119,B100)*Weeks),0)</f>
        <v>8.40311578665237</v>
      </c>
      <c r="J100" s="24" t="n">
        <f aca="false">IF(TPBasis="NI TP",IF(H100&gt;0,H100,I100),G100)</f>
        <v>8.40311578665237</v>
      </c>
      <c r="K100" s="26" t="n">
        <f aca="false">IFERROR(F100/D100,0)</f>
        <v>0.109110276544896</v>
      </c>
      <c r="L100" s="27" t="n">
        <f aca="false">IFERROR(D100/E100,0)</f>
        <v>8136.11111111111</v>
      </c>
      <c r="M100" s="28" t="n">
        <f aca="false">IFERROR('District Data'!L100/'District Data'!K100-1,0)</f>
        <v>-0.0284428771204475</v>
      </c>
      <c r="N100" s="28" t="n">
        <f aca="false">IFERROR(('District Data'!L100/'District Data'!J100)^(1/2)-1,0)</f>
        <v>-0.0370033075292574</v>
      </c>
      <c r="O100" s="28" t="n">
        <f aca="false">IFERROR('District Data'!I100/'District Data'!H100-1,0)</f>
        <v>0</v>
      </c>
      <c r="P100" s="7" t="str">
        <f aca="false">IF(K100&gt;=PCC_L1,"Layer 01",IF(K100&gt;=PCC_L2,"Layer 02",IF(K100&gt;=PCC_L3,"Layer 03",IF(K100&gt;=PCC_L4,"Layer 04","Layer 05"))))</f>
        <v>Layer 05</v>
      </c>
      <c r="Q100" s="7" t="str">
        <f aca="false">IF(L100&gt;=PPO_L1,"Layer 01",IF(L100&gt;=PPO_L2,"Layer 02",IF(L100&gt;=PPO_L3,"Layer 03",IF(L100&gt;=PPO_L4,"Layer 04","Layer 05"))))</f>
        <v>Layer 03</v>
      </c>
      <c r="R100" s="29" t="n">
        <f aca="false">D100/IdealPPO-E100</f>
        <v>88.6333333333333</v>
      </c>
      <c r="S100" s="29" t="n">
        <f aca="false">IdealTP*Weeks-(Weeks*J100+FirstFill)</f>
        <v>263.037979094077</v>
      </c>
      <c r="T100" s="29" t="n">
        <f aca="false">IF(S100&gt;0,(F100-IdealTP*Weeks*E100)/S100,1000000000000)</f>
        <v>3.68615970720038</v>
      </c>
      <c r="U100" s="27" t="n">
        <f aca="false">IF(E100&lt;=0,0,IF(G100&lt;=IdealTP,0,IF(L100&lt;=IdealPPO,0,INT(MIN(T100,R100)+0.000000001))))</f>
        <v>3</v>
      </c>
      <c r="V100" s="7" t="str">
        <f aca="false">IF(E100&lt;=0,"No current outlets",IF(G100&lt;=IdealTP,"TP already at or below ideal",IF(L100&lt;=IdealPPO,"PPO already at or below ideal",IF(T100&lt;=R100,"Stopped by TP reaching ideal","Stopped by PPO reaching ideal"))))</f>
        <v>Stopped by TP reaching ideal</v>
      </c>
      <c r="W100" s="30" t="n">
        <f aca="false">F100+U100*(Weeks*J100+FirstFill)</f>
        <v>9540.48606271777</v>
      </c>
      <c r="X100" s="30" t="n">
        <f aca="false">E100+U100</f>
        <v>12</v>
      </c>
      <c r="Y100" s="24" t="n">
        <f aca="false">IFERROR(W100/(X100*Weeks),0)</f>
        <v>15.2892404851246</v>
      </c>
      <c r="Z100" s="30" t="n">
        <f aca="false">IFERROR(D100/X100,0)</f>
        <v>6102.08333333333</v>
      </c>
      <c r="AA100" s="7" t="str">
        <f aca="false">IF(AND(K100&gt;=NationalPCC,L100&gt;IdealPPO),"Q1: High PCC, High PPO",IF(K100&gt;=NationalPCC,"Q2: High PCC, Low PPO",IF(L100&gt;IdealPPO,"Q3: Low PCC, High PPO","Q4: Low PCC, Low PPO")))</f>
        <v>Q3: Low PCC, High PPO</v>
      </c>
      <c r="AB100" s="7" t="str">
        <f aca="false">IF(K100&gt;=NationalPCC,IF(L100&gt;IdealPPO,"Phase 1","Phase 2"),"Phase 3")</f>
        <v>Phase 3</v>
      </c>
      <c r="AC100" s="7" t="str">
        <f aca="false">IF(AND(G100&gt;IdealTP,L100&gt;IdealPPO),"High TP, High PPO",IF(G100&gt;IdealTP,"High TP, Low PPO",IF(L100&gt;IdealPPO,"Low TP, High PPO","Low TP, Low PPO")))</f>
        <v>High TP, High PPO</v>
      </c>
      <c r="AD100" s="31" t="n">
        <f aca="false">INDEX(WaveNumbers,MATCH(C100,WaveNames,0))</f>
        <v>4</v>
      </c>
      <c r="AE100" s="32" t="n">
        <f aca="false">IF(U100&gt;0,AD100*10000000+VALUE(RIGHT(AB100,1))*1000000+(1000000-U100)+ROW()/1000000,"")</f>
        <v>43999997.0001</v>
      </c>
      <c r="AF100" s="31" t="n">
        <f aca="false">IF(U100&gt;0,COUNTIFS($AE$5:$AE$119,"&lt;"&amp;AE100)+1,"")</f>
        <v>43</v>
      </c>
      <c r="AG100" s="7" t="str">
        <f aca="false">IF(AF100="","No",IF(AF100&lt;=TopN,"Yes","No"))</f>
        <v>Yes</v>
      </c>
      <c r="AH100" s="30" t="n">
        <f aca="false">INT('District Data'!O100*ConvRate)</f>
        <v>8</v>
      </c>
      <c r="AI100" s="27" t="n">
        <f aca="false">MIN(U100,AH100)</f>
        <v>3</v>
      </c>
      <c r="AJ100" s="7" t="str">
        <f aca="false">IF(U100=0,"No expansion",IF(AH100&lt;U100,"Supply constrained (not enough shops)","Demand constrained (enough shops)"))</f>
        <v>Demand constrained (enough shops)</v>
      </c>
      <c r="AK100" s="30" t="n">
        <f aca="false">IF(AG100="Yes",AI100,0)</f>
        <v>3</v>
      </c>
      <c r="AL100" s="26" t="n">
        <f aca="false">IF(AG100="Yes",IF(Budget1&gt;=ShortlistFinal,AK100,AK100/ShortlistFinal*Budget1),0)</f>
        <v>1.77383592017738</v>
      </c>
      <c r="AM100" s="30" t="n">
        <f aca="false">INT(AL100)</f>
        <v>1</v>
      </c>
      <c r="AN100" s="26" t="n">
        <f aca="false">IF(AND(AG100="Yes",Budget1&lt;ShortlistFinal),AL100-AM100,-1)</f>
        <v>0.773835920177384</v>
      </c>
      <c r="AO100" s="27" t="n">
        <f aca="false">IF(AG100&lt;&gt;"Yes",0,IF(Budget1&gt;=ShortlistFinal,AK100,AM100+IF(COUNTIFS($AN$5:$AN$119,"&gt;"&amp;AN100)+COUNTIFS($AN$5:$AN$119,AN100,$AF$5:$AF$119,"&lt;"&amp;AF100)&lt;Budget1-SUM($AM$5:$AM$119),1,0)))</f>
        <v>2</v>
      </c>
      <c r="AP100" s="26" t="n">
        <f aca="false">IF(AG100="Yes",IF(Budget2&gt;=ShortlistFinal,AK100,AK100/ShortlistFinal*Budget2),0)</f>
        <v>2.66075388026608</v>
      </c>
      <c r="AQ100" s="30" t="n">
        <f aca="false">INT(AP100)</f>
        <v>2</v>
      </c>
      <c r="AR100" s="26" t="n">
        <f aca="false">IF(AND(AG100="Yes",Budget2&lt;ShortlistFinal),AP100-AQ100,-1)</f>
        <v>0.660753880266075</v>
      </c>
      <c r="AS100" s="27" t="n">
        <f aca="false">IF(AG100&lt;&gt;"Yes",0,IF(Budget2&gt;=ShortlistFinal,AK100,AQ100+IF(COUNTIFS($AR$5:$AR$119,"&gt;"&amp;AR100)+COUNTIFS($AR$5:$AR$119,AR100,$AF$5:$AF$119,"&lt;"&amp;AF100)&lt;Budget2-SUM($AQ$5:$AQ$119),1,0)))</f>
        <v>3</v>
      </c>
      <c r="AT100" s="26" t="n">
        <f aca="false">AK100*Share2025</f>
        <v>1.05882352941177</v>
      </c>
      <c r="AU100" s="26" t="n">
        <f aca="false">AK100*Share2026</f>
        <v>1.05882352941177</v>
      </c>
      <c r="AV100" s="26" t="n">
        <f aca="false">AK100*Share2027</f>
        <v>0.882352941176471</v>
      </c>
      <c r="AW100" s="31" t="n">
        <f aca="false">INT(AT100)</f>
        <v>1</v>
      </c>
      <c r="AX100" s="31" t="n">
        <f aca="false">INT(AU100)</f>
        <v>1</v>
      </c>
      <c r="AY100" s="31" t="n">
        <f aca="false">INT(AV100)</f>
        <v>0</v>
      </c>
      <c r="AZ100" s="26" t="n">
        <f aca="false">AT100-AW100</f>
        <v>0.0588235294117649</v>
      </c>
      <c r="BA100" s="26" t="n">
        <f aca="false">AU100-AX100</f>
        <v>0.0588235294117649</v>
      </c>
      <c r="BB100" s="26" t="n">
        <f aca="false">AV100-AY100</f>
        <v>0.882352941176471</v>
      </c>
      <c r="BC100" s="31" t="n">
        <f aca="false">AK100-AW100-AX100-AY100</f>
        <v>1</v>
      </c>
      <c r="BD100" s="27" t="n">
        <f aca="false">AW100+IF((BA100&gt;AZ100)+(BB100&gt;AZ100)&lt;BC100,1,0)</f>
        <v>1</v>
      </c>
      <c r="BE100" s="27" t="n">
        <f aca="false">AX100+IF((AZ100&gt;BA100)+(BB100&gt;BA100)+(AZ100=BA100)&lt;BC100,1,0)</f>
        <v>1</v>
      </c>
      <c r="BF100" s="27" t="n">
        <f aca="false">AY100+IF((AZ100&gt;BB100)+(BA100&gt;BB100)+(AZ100=BB100)+(BA100=BB100)&lt;BC100,1,0)</f>
        <v>1</v>
      </c>
    </row>
    <row r="101" customFormat="false" ht="15" hidden="false" customHeight="false" outlineLevel="0" collapsed="false">
      <c r="A101" s="22" t="str">
        <f aca="false">'District Data'!A101</f>
        <v>Sheikhpura</v>
      </c>
      <c r="B101" s="22" t="str">
        <f aca="false">'District Data'!C101</f>
        <v>Lahore Region</v>
      </c>
      <c r="C101" s="22" t="str">
        <f aca="false">'District Data'!D101</f>
        <v>Stronghold</v>
      </c>
      <c r="D101" s="23" t="n">
        <f aca="false">ROUND('District Data'!E101*'District Data'!F101,0)</f>
        <v>1630402</v>
      </c>
      <c r="E101" s="23" t="n">
        <f aca="false">'District Data'!I101</f>
        <v>613</v>
      </c>
      <c r="F101" s="23" t="n">
        <f aca="false">'District Data'!L101</f>
        <v>578102.8</v>
      </c>
      <c r="G101" s="24" t="n">
        <f aca="false">IFERROR(F101/(E101*Weeks),0)</f>
        <v>18.1359894591542</v>
      </c>
      <c r="H101" s="25" t="n">
        <f aca="false">IFERROR('District Data'!N101/('District Data'!M101*Weeks),0)</f>
        <v>8.50288461538462</v>
      </c>
      <c r="I101" s="24" t="n">
        <f aca="false">IFERROR(SUMIFS('District Data'!$N$5:$N$119,'District Data'!$C$5:$C$119,B101)/(SUMIFS('District Data'!$M$5:$M$119,'District Data'!$C$5:$C$119,B101)*Weeks),0)</f>
        <v>11.5536217630433</v>
      </c>
      <c r="J101" s="24" t="n">
        <f aca="false">IF(TPBasis="NI TP",IF(H101&gt;0,H101,I101),G101)</f>
        <v>8.50288461538462</v>
      </c>
      <c r="K101" s="26" t="n">
        <f aca="false">IFERROR(F101/D101,0)</f>
        <v>0.354576846691798</v>
      </c>
      <c r="L101" s="27" t="n">
        <f aca="false">IFERROR(D101/E101,0)</f>
        <v>2659.70962479609</v>
      </c>
      <c r="M101" s="28" t="n">
        <f aca="false">IFERROR('District Data'!L101/'District Data'!K101-1,0)</f>
        <v>-0.0107751576917036</v>
      </c>
      <c r="N101" s="28" t="n">
        <f aca="false">IFERROR(('District Data'!L101/'District Data'!J101)^(1/2)-1,0)</f>
        <v>0.000668370798041718</v>
      </c>
      <c r="O101" s="28" t="n">
        <f aca="false">IFERROR('District Data'!I101/'District Data'!H101-1,0)</f>
        <v>0.0642361111111112</v>
      </c>
      <c r="P101" s="7" t="str">
        <f aca="false">IF(K101&gt;=PCC_L1,"Layer 01",IF(K101&gt;=PCC_L2,"Layer 02",IF(K101&gt;=PCC_L3,"Layer 03",IF(K101&gt;=PCC_L4,"Layer 04","Layer 05"))))</f>
        <v>Layer 04</v>
      </c>
      <c r="Q101" s="7" t="str">
        <f aca="false">IF(L101&gt;=PPO_L1,"Layer 01",IF(L101&gt;=PPO_L2,"Layer 02",IF(L101&gt;=PPO_L3,"Layer 03",IF(L101&gt;=PPO_L4,"Layer 04","Layer 05"))))</f>
        <v>Layer 04</v>
      </c>
      <c r="R101" s="29" t="n">
        <f aca="false">D101/IdealPPO-E101</f>
        <v>1560.86933333333</v>
      </c>
      <c r="S101" s="29" t="n">
        <f aca="false">IdealTP*Weeks-(Weeks*J101+FirstFill)</f>
        <v>257.85</v>
      </c>
      <c r="T101" s="29" t="n">
        <f aca="false">IF(S101&gt;0,(F101-IdealTP*Weeks*E101)/S101,1000000000000)</f>
        <v>387.678107426799</v>
      </c>
      <c r="U101" s="27" t="n">
        <f aca="false">IF(E101&lt;=0,0,IF(G101&lt;=IdealTP,0,IF(L101&lt;=IdealPPO,0,INT(MIN(T101,R101)+0.000000001))))</f>
        <v>387</v>
      </c>
      <c r="V101" s="7" t="str">
        <f aca="false">IF(E101&lt;=0,"No current outlets",IF(G101&lt;=IdealTP,"TP already at or below ideal",IF(L101&lt;=IdealPPO,"PPO already at or below ideal",IF(T101&lt;=R101,"Stopped by TP reaching ideal","Stopped by PPO reaching ideal"))))</f>
        <v>Stopped by TP reaching ideal</v>
      </c>
      <c r="W101" s="30" t="n">
        <f aca="false">F101+U101*(Weeks*J101+FirstFill)</f>
        <v>780174.85</v>
      </c>
      <c r="X101" s="30" t="n">
        <f aca="false">E101+U101</f>
        <v>1000</v>
      </c>
      <c r="Y101" s="24" t="n">
        <f aca="false">IFERROR(W101/(X101*Weeks),0)</f>
        <v>15.0033625</v>
      </c>
      <c r="Z101" s="30" t="n">
        <f aca="false">IFERROR(D101/X101,0)</f>
        <v>1630.402</v>
      </c>
      <c r="AA101" s="7" t="str">
        <f aca="false">IF(AND(K101&gt;=NationalPCC,L101&gt;IdealPPO),"Q1: High PCC, High PPO",IF(K101&gt;=NationalPCC,"Q2: High PCC, Low PPO",IF(L101&gt;IdealPPO,"Q3: Low PCC, High PPO","Q4: Low PCC, Low PPO")))</f>
        <v>Q3: Low PCC, High PPO</v>
      </c>
      <c r="AB101" s="7" t="str">
        <f aca="false">IF(K101&gt;=NationalPCC,IF(L101&gt;IdealPPO,"Phase 1","Phase 2"),"Phase 3")</f>
        <v>Phase 3</v>
      </c>
      <c r="AC101" s="7" t="str">
        <f aca="false">IF(AND(G101&gt;IdealTP,L101&gt;IdealPPO),"High TP, High PPO",IF(G101&gt;IdealTP,"High TP, Low PPO",IF(L101&gt;IdealPPO,"Low TP, High PPO","Low TP, Low PPO")))</f>
        <v>High TP, High PPO</v>
      </c>
      <c r="AD101" s="31" t="n">
        <f aca="false">INDEX(WaveNumbers,MATCH(C101,WaveNames,0))</f>
        <v>1</v>
      </c>
      <c r="AE101" s="32" t="n">
        <f aca="false">IF(U101&gt;0,AD101*10000000+VALUE(RIGHT(AB101,1))*1000000+(1000000-U101)+ROW()/1000000,"")</f>
        <v>13999613.000101</v>
      </c>
      <c r="AF101" s="31" t="n">
        <f aca="false">IF(U101&gt;0,COUNTIFS($AE$5:$AE$119,"&lt;"&amp;AE101)+1,"")</f>
        <v>10</v>
      </c>
      <c r="AG101" s="7" t="str">
        <f aca="false">IF(AF101="","No",IF(AF101&lt;=TopN,"Yes","No"))</f>
        <v>Yes</v>
      </c>
      <c r="AH101" s="30" t="n">
        <f aca="false">INT('District Data'!O101*ConvRate)</f>
        <v>184</v>
      </c>
      <c r="AI101" s="27" t="n">
        <f aca="false">MIN(U101,AH101)</f>
        <v>184</v>
      </c>
      <c r="AJ101" s="7" t="str">
        <f aca="false">IF(U101=0,"No expansion",IF(AH101&lt;U101,"Supply constrained (not enough shops)","Demand constrained (enough shops)"))</f>
        <v>Supply constrained (not enough shops)</v>
      </c>
      <c r="AK101" s="30" t="n">
        <f aca="false">IF(AG101="Yes",AI101,0)</f>
        <v>184</v>
      </c>
      <c r="AL101" s="26" t="n">
        <f aca="false">IF(AG101="Yes",IF(Budget1&gt;=ShortlistFinal,AK101,AK101/ShortlistFinal*Budget1),0)</f>
        <v>108.79526977088</v>
      </c>
      <c r="AM101" s="30" t="n">
        <f aca="false">INT(AL101)</f>
        <v>108</v>
      </c>
      <c r="AN101" s="26" t="n">
        <f aca="false">IF(AND(AG101="Yes",Budget1&lt;ShortlistFinal),AL101-AM101,-1)</f>
        <v>0.795269770879528</v>
      </c>
      <c r="AO101" s="27" t="n">
        <f aca="false">IF(AG101&lt;&gt;"Yes",0,IF(Budget1&gt;=ShortlistFinal,AK101,AM101+IF(COUNTIFS($AN$5:$AN$119,"&gt;"&amp;AN101)+COUNTIFS($AN$5:$AN$119,AN101,$AF$5:$AF$119,"&lt;"&amp;AF101)&lt;Budget1-SUM($AM$5:$AM$119),1,0)))</f>
        <v>109</v>
      </c>
      <c r="AP101" s="26" t="n">
        <f aca="false">IF(AG101="Yes",IF(Budget2&gt;=ShortlistFinal,AK101,AK101/ShortlistFinal*Budget2),0)</f>
        <v>163.192904656319</v>
      </c>
      <c r="AQ101" s="30" t="n">
        <f aca="false">INT(AP101)</f>
        <v>163</v>
      </c>
      <c r="AR101" s="26" t="n">
        <f aca="false">IF(AND(AG101="Yes",Budget2&lt;ShortlistFinal),AP101-AQ101,-1)</f>
        <v>0.192904656319286</v>
      </c>
      <c r="AS101" s="27" t="n">
        <f aca="false">IF(AG101&lt;&gt;"Yes",0,IF(Budget2&gt;=ShortlistFinal,AK101,AQ101+IF(COUNTIFS($AR$5:$AR$119,"&gt;"&amp;AR101)+COUNTIFS($AR$5:$AR$119,AR101,$AF$5:$AF$119,"&lt;"&amp;AF101)&lt;Budget2-SUM($AQ$5:$AQ$119),1,0)))</f>
        <v>163</v>
      </c>
      <c r="AT101" s="26" t="n">
        <f aca="false">AK101*Share2025</f>
        <v>64.9411764705883</v>
      </c>
      <c r="AU101" s="26" t="n">
        <f aca="false">AK101*Share2026</f>
        <v>64.9411764705883</v>
      </c>
      <c r="AV101" s="26" t="n">
        <f aca="false">AK101*Share2027</f>
        <v>54.1176470588235</v>
      </c>
      <c r="AW101" s="31" t="n">
        <f aca="false">INT(AT101)</f>
        <v>64</v>
      </c>
      <c r="AX101" s="31" t="n">
        <f aca="false">INT(AU101)</f>
        <v>64</v>
      </c>
      <c r="AY101" s="31" t="n">
        <f aca="false">INT(AV101)</f>
        <v>54</v>
      </c>
      <c r="AZ101" s="26" t="n">
        <f aca="false">AT101-AW101</f>
        <v>0.941176470588246</v>
      </c>
      <c r="BA101" s="26" t="n">
        <f aca="false">AU101-AX101</f>
        <v>0.941176470588246</v>
      </c>
      <c r="BB101" s="26" t="n">
        <f aca="false">AV101-AY101</f>
        <v>0.117647058823522</v>
      </c>
      <c r="BC101" s="31" t="n">
        <f aca="false">AK101-AW101-AX101-AY101</f>
        <v>2</v>
      </c>
      <c r="BD101" s="27" t="n">
        <f aca="false">AW101+IF((BA101&gt;AZ101)+(BB101&gt;AZ101)&lt;BC101,1,0)</f>
        <v>65</v>
      </c>
      <c r="BE101" s="27" t="n">
        <f aca="false">AX101+IF((AZ101&gt;BA101)+(BB101&gt;BA101)+(AZ101=BA101)&lt;BC101,1,0)</f>
        <v>65</v>
      </c>
      <c r="BF101" s="27" t="n">
        <f aca="false">AY101+IF((AZ101&gt;BB101)+(BA101&gt;BB101)+(AZ101=BB101)+(BA101=BB101)&lt;BC101,1,0)</f>
        <v>54</v>
      </c>
    </row>
    <row r="102" customFormat="false" ht="15" hidden="false" customHeight="false" outlineLevel="0" collapsed="false">
      <c r="A102" s="22" t="str">
        <f aca="false">'District Data'!A102</f>
        <v>Shikarpur</v>
      </c>
      <c r="B102" s="22" t="str">
        <f aca="false">'District Data'!C102</f>
        <v>Karachi Region</v>
      </c>
      <c r="C102" s="22" t="str">
        <f aca="false">'District Data'!D102</f>
        <v>Rest</v>
      </c>
      <c r="D102" s="23" t="n">
        <f aca="false">ROUND('District Data'!E102*'District Data'!F102,0)</f>
        <v>301082</v>
      </c>
      <c r="E102" s="23" t="n">
        <f aca="false">'District Data'!I102</f>
        <v>22</v>
      </c>
      <c r="F102" s="23" t="n">
        <f aca="false">'District Data'!L102</f>
        <v>11145.7</v>
      </c>
      <c r="G102" s="24" t="n">
        <f aca="false">IFERROR(F102/(E102*Weeks),0)</f>
        <v>9.74274475524476</v>
      </c>
      <c r="H102" s="25" t="n">
        <f aca="false">IFERROR('District Data'!N102/('District Data'!M102*Weeks),0)</f>
        <v>5.30897435897436</v>
      </c>
      <c r="I102" s="24" t="n">
        <f aca="false">IFERROR(SUMIFS('District Data'!$N$5:$N$119,'District Data'!$C$5:$C$119,B102)/(SUMIFS('District Data'!$M$5:$M$119,'District Data'!$C$5:$C$119,B102)*Weeks),0)</f>
        <v>12.952446872194</v>
      </c>
      <c r="J102" s="24" t="n">
        <f aca="false">IF(TPBasis="NI TP",IF(H102&gt;0,H102,I102),G102)</f>
        <v>5.30897435897436</v>
      </c>
      <c r="K102" s="26" t="n">
        <f aca="false">IFERROR(F102/D102,0)</f>
        <v>0.0370188187935513</v>
      </c>
      <c r="L102" s="27" t="n">
        <f aca="false">IFERROR(D102/E102,0)</f>
        <v>13685.5454545455</v>
      </c>
      <c r="M102" s="28" t="n">
        <f aca="false">IFERROR('District Data'!L102/'District Data'!K102-1,0)</f>
        <v>0.0196320589876591</v>
      </c>
      <c r="N102" s="28" t="n">
        <f aca="false">IFERROR(('District Data'!L102/'District Data'!J102)^(1/2)-1,0)</f>
        <v>0.0350164243543369</v>
      </c>
      <c r="O102" s="28" t="n">
        <f aca="false">IFERROR('District Data'!I102/'District Data'!H102-1,0)</f>
        <v>0.1</v>
      </c>
      <c r="P102" s="7" t="str">
        <f aca="false">IF(K102&gt;=PCC_L1,"Layer 01",IF(K102&gt;=PCC_L2,"Layer 02",IF(K102&gt;=PCC_L3,"Layer 03",IF(K102&gt;=PCC_L4,"Layer 04","Layer 05"))))</f>
        <v>Layer 05</v>
      </c>
      <c r="Q102" s="7" t="str">
        <f aca="false">IF(L102&gt;=PPO_L1,"Layer 01",IF(L102&gt;=PPO_L2,"Layer 02",IF(L102&gt;=PPO_L3,"Layer 03",IF(L102&gt;=PPO_L4,"Layer 04","Layer 05"))))</f>
        <v>Layer 03</v>
      </c>
      <c r="R102" s="29" t="n">
        <f aca="false">D102/IdealPPO-E102</f>
        <v>379.442666666667</v>
      </c>
      <c r="S102" s="29" t="n">
        <f aca="false">IdealTP*Weeks-(Weeks*J102+FirstFill)</f>
        <v>423.933333333333</v>
      </c>
      <c r="T102" s="29" t="n">
        <f aca="false">IF(S102&gt;0,(F102-IdealTP*Weeks*E102)/S102,1000000000000)</f>
        <v>-14.1869004560465</v>
      </c>
      <c r="U102" s="27" t="n">
        <f aca="false">IF(E102&lt;=0,0,IF(G102&lt;=IdealTP,0,IF(L102&lt;=IdealPPO,0,INT(MIN(T102,R102)+0.000000001))))</f>
        <v>0</v>
      </c>
      <c r="V102" s="7" t="str">
        <f aca="false">IF(E102&lt;=0,"No current outlets",IF(G102&lt;=IdealTP,"TP already at or below ideal",IF(L102&lt;=IdealPPO,"PPO already at or below ideal",IF(T102&lt;=R102,"Stopped by TP reaching ideal","Stopped by PPO reaching ideal"))))</f>
        <v>TP already at or below ideal</v>
      </c>
      <c r="W102" s="30" t="n">
        <f aca="false">F102+U102*(Weeks*J102+FirstFill)</f>
        <v>11145.7</v>
      </c>
      <c r="X102" s="30" t="n">
        <f aca="false">E102+U102</f>
        <v>22</v>
      </c>
      <c r="Y102" s="24" t="n">
        <f aca="false">IFERROR(W102/(X102*Weeks),0)</f>
        <v>9.74274475524476</v>
      </c>
      <c r="Z102" s="30" t="n">
        <f aca="false">IFERROR(D102/X102,0)</f>
        <v>13685.5454545455</v>
      </c>
      <c r="AA102" s="7" t="str">
        <f aca="false">IF(AND(K102&gt;=NationalPCC,L102&gt;IdealPPO),"Q1: High PCC, High PPO",IF(K102&gt;=NationalPCC,"Q2: High PCC, Low PPO",IF(L102&gt;IdealPPO,"Q3: Low PCC, High PPO","Q4: Low PCC, Low PPO")))</f>
        <v>Q3: Low PCC, High PPO</v>
      </c>
      <c r="AB102" s="7" t="str">
        <f aca="false">IF(K102&gt;=NationalPCC,IF(L102&gt;IdealPPO,"Phase 1","Phase 2"),"Phase 3")</f>
        <v>Phase 3</v>
      </c>
      <c r="AC102" s="7" t="str">
        <f aca="false">IF(AND(G102&gt;IdealTP,L102&gt;IdealPPO),"High TP, High PPO",IF(G102&gt;IdealTP,"High TP, Low PPO",IF(L102&gt;IdealPPO,"Low TP, High PPO","Low TP, Low PPO")))</f>
        <v>Low TP, High PPO</v>
      </c>
      <c r="AD102" s="31" t="n">
        <f aca="false">INDEX(WaveNumbers,MATCH(C102,WaveNames,0))</f>
        <v>4</v>
      </c>
      <c r="AE102" s="32" t="str">
        <f aca="false">IF(U102&gt;0,AD102*10000000+VALUE(RIGHT(AB102,1))*1000000+(1000000-U102)+ROW()/1000000,"")</f>
        <v/>
      </c>
      <c r="AF102" s="31" t="str">
        <f aca="false">IF(U102&gt;0,COUNTIFS($AE$5:$AE$119,"&lt;"&amp;AE102)+1,"")</f>
        <v/>
      </c>
      <c r="AG102" s="7" t="str">
        <f aca="false">IF(AF102="","No",IF(AF102&lt;=TopN,"Yes","No"))</f>
        <v>No</v>
      </c>
      <c r="AH102" s="30" t="n">
        <f aca="false">INT('District Data'!O102*ConvRate)</f>
        <v>20</v>
      </c>
      <c r="AI102" s="27" t="n">
        <f aca="false">MIN(U102,AH102)</f>
        <v>0</v>
      </c>
      <c r="AJ102" s="7" t="str">
        <f aca="false">IF(U102=0,"No expansion",IF(AH102&lt;U102,"Supply constrained (not enough shops)","Demand constrained (enough shops)"))</f>
        <v>No expansion</v>
      </c>
      <c r="AK102" s="30" t="n">
        <f aca="false">IF(AG102="Yes",AI102,0)</f>
        <v>0</v>
      </c>
      <c r="AL102" s="26" t="n">
        <f aca="false">IF(AG102="Yes",IF(Budget1&gt;=ShortlistFinal,AK102,AK102/ShortlistFinal*Budget1),0)</f>
        <v>0</v>
      </c>
      <c r="AM102" s="30" t="n">
        <f aca="false">INT(AL102)</f>
        <v>0</v>
      </c>
      <c r="AN102" s="26" t="n">
        <f aca="false">IF(AND(AG102="Yes",Budget1&lt;ShortlistFinal),AL102-AM102,-1)</f>
        <v>-1</v>
      </c>
      <c r="AO102" s="27" t="n">
        <f aca="false">IF(AG102&lt;&gt;"Yes",0,IF(Budget1&gt;=ShortlistFinal,AK102,AM102+IF(COUNTIFS($AN$5:$AN$119,"&gt;"&amp;AN102)+COUNTIFS($AN$5:$AN$119,AN102,$AF$5:$AF$119,"&lt;"&amp;AF102)&lt;Budget1-SUM($AM$5:$AM$119),1,0)))</f>
        <v>0</v>
      </c>
      <c r="AP102" s="26" t="n">
        <f aca="false">IF(AG102="Yes",IF(Budget2&gt;=ShortlistFinal,AK102,AK102/ShortlistFinal*Budget2),0)</f>
        <v>0</v>
      </c>
      <c r="AQ102" s="30" t="n">
        <f aca="false">INT(AP102)</f>
        <v>0</v>
      </c>
      <c r="AR102" s="26" t="n">
        <f aca="false">IF(AND(AG102="Yes",Budget2&lt;ShortlistFinal),AP102-AQ102,-1)</f>
        <v>-1</v>
      </c>
      <c r="AS102" s="27" t="n">
        <f aca="false">IF(AG102&lt;&gt;"Yes",0,IF(Budget2&gt;=ShortlistFinal,AK102,AQ102+IF(COUNTIFS($AR$5:$AR$119,"&gt;"&amp;AR102)+COUNTIFS($AR$5:$AR$119,AR102,$AF$5:$AF$119,"&lt;"&amp;AF102)&lt;Budget2-SUM($AQ$5:$AQ$119),1,0)))</f>
        <v>0</v>
      </c>
      <c r="AT102" s="26" t="n">
        <f aca="false">AK102*Share2025</f>
        <v>0</v>
      </c>
      <c r="AU102" s="26" t="n">
        <f aca="false">AK102*Share2026</f>
        <v>0</v>
      </c>
      <c r="AV102" s="26" t="n">
        <f aca="false">AK102*Share2027</f>
        <v>0</v>
      </c>
      <c r="AW102" s="31" t="n">
        <f aca="false">INT(AT102)</f>
        <v>0</v>
      </c>
      <c r="AX102" s="31" t="n">
        <f aca="false">INT(AU102)</f>
        <v>0</v>
      </c>
      <c r="AY102" s="31" t="n">
        <f aca="false">INT(AV102)</f>
        <v>0</v>
      </c>
      <c r="AZ102" s="26" t="n">
        <f aca="false">AT102-AW102</f>
        <v>0</v>
      </c>
      <c r="BA102" s="26" t="n">
        <f aca="false">AU102-AX102</f>
        <v>0</v>
      </c>
      <c r="BB102" s="26" t="n">
        <f aca="false">AV102-AY102</f>
        <v>0</v>
      </c>
      <c r="BC102" s="31" t="n">
        <f aca="false">AK102-AW102-AX102-AY102</f>
        <v>0</v>
      </c>
      <c r="BD102" s="27" t="n">
        <f aca="false">AW102+IF((BA102&gt;AZ102)+(BB102&gt;AZ102)&lt;BC102,1,0)</f>
        <v>0</v>
      </c>
      <c r="BE102" s="27" t="n">
        <f aca="false">AX102+IF((AZ102&gt;BA102)+(BB102&gt;BA102)+(AZ102=BA102)&lt;BC102,1,0)</f>
        <v>0</v>
      </c>
      <c r="BF102" s="27" t="n">
        <f aca="false">AY102+IF((AZ102&gt;BB102)+(BA102&gt;BB102)+(AZ102=BB102)+(BA102=BB102)&lt;BC102,1,0)</f>
        <v>0</v>
      </c>
    </row>
    <row r="103" customFormat="false" ht="15" hidden="false" customHeight="false" outlineLevel="0" collapsed="false">
      <c r="A103" s="22" t="str">
        <f aca="false">'District Data'!A103</f>
        <v>Sialkot</v>
      </c>
      <c r="B103" s="22" t="str">
        <f aca="false">'District Data'!C103</f>
        <v>Lahore Region</v>
      </c>
      <c r="C103" s="22" t="str">
        <f aca="false">'District Data'!D103</f>
        <v>Stronghold</v>
      </c>
      <c r="D103" s="23" t="n">
        <f aca="false">ROUND('District Data'!E103*'District Data'!F103,0)</f>
        <v>1585465</v>
      </c>
      <c r="E103" s="23" t="n">
        <f aca="false">'District Data'!I103</f>
        <v>1093</v>
      </c>
      <c r="F103" s="23" t="n">
        <f aca="false">'District Data'!L103</f>
        <v>1209694.4</v>
      </c>
      <c r="G103" s="24" t="n">
        <f aca="false">IFERROR(F103/(E103*Weeks),0)</f>
        <v>21.2839467942853</v>
      </c>
      <c r="H103" s="25" t="n">
        <f aca="false">IFERROR('District Data'!N103/('District Data'!M103*Weeks),0)</f>
        <v>13.8946615384615</v>
      </c>
      <c r="I103" s="24" t="n">
        <f aca="false">IFERROR(SUMIFS('District Data'!$N$5:$N$119,'District Data'!$C$5:$C$119,B103)/(SUMIFS('District Data'!$M$5:$M$119,'District Data'!$C$5:$C$119,B103)*Weeks),0)</f>
        <v>11.5536217630433</v>
      </c>
      <c r="J103" s="24" t="n">
        <f aca="false">IF(TPBasis="NI TP",IF(H103&gt;0,H103,I103),G103)</f>
        <v>13.8946615384615</v>
      </c>
      <c r="K103" s="26" t="n">
        <f aca="false">IFERROR(F103/D103,0)</f>
        <v>0.762990289914946</v>
      </c>
      <c r="L103" s="27" t="n">
        <f aca="false">IFERROR(D103/E103,0)</f>
        <v>1450.5626715462</v>
      </c>
      <c r="M103" s="28" t="n">
        <f aca="false">IFERROR('District Data'!L103/'District Data'!K103-1,0)</f>
        <v>0.0457671563620619</v>
      </c>
      <c r="N103" s="28" t="n">
        <f aca="false">IFERROR(('District Data'!L103/'District Data'!J103)^(1/2)-1,0)</f>
        <v>0.0461837409438559</v>
      </c>
      <c r="O103" s="28" t="n">
        <f aca="false">IFERROR('District Data'!I103/'District Data'!H103-1,0)</f>
        <v>0.093</v>
      </c>
      <c r="P103" s="7" t="str">
        <f aca="false">IF(K103&gt;=PCC_L1,"Layer 01",IF(K103&gt;=PCC_L2,"Layer 02",IF(K103&gt;=PCC_L3,"Layer 03",IF(K103&gt;=PCC_L4,"Layer 04","Layer 05"))))</f>
        <v>Layer 03</v>
      </c>
      <c r="Q103" s="7" t="str">
        <f aca="false">IF(L103&gt;=PPO_L1,"Layer 01",IF(L103&gt;=PPO_L2,"Layer 02",IF(L103&gt;=PPO_L3,"Layer 03",IF(L103&gt;=PPO_L4,"Layer 04","Layer 05"))))</f>
        <v>Layer 05</v>
      </c>
      <c r="R103" s="29" t="n">
        <f aca="false">D103/IdealPPO-E103</f>
        <v>1020.95333333333</v>
      </c>
      <c r="S103" s="29" t="n">
        <f aca="false">IdealTP*Weeks-(Weeks*J103+FirstFill)</f>
        <v>-22.5224000000001</v>
      </c>
      <c r="T103" s="29" t="n">
        <f aca="false">IF(S103&gt;0,(F103-IdealTP*Weeks*E103)/S103,1000000000000)</f>
        <v>1000000000000</v>
      </c>
      <c r="U103" s="27" t="n">
        <f aca="false">IF(E103&lt;=0,0,IF(G103&lt;=IdealTP,0,IF(L103&lt;=IdealPPO,0,INT(MIN(T103,R103)+0.000000001))))</f>
        <v>1020</v>
      </c>
      <c r="V103" s="7" t="str">
        <f aca="false">IF(E103&lt;=0,"No current outlets",IF(G103&lt;=IdealTP,"TP already at or below ideal",IF(L103&lt;=IdealPPO,"PPO already at or below ideal",IF(T103&lt;=R103,"Stopped by TP reaching ideal","Stopped by PPO reaching ideal"))))</f>
        <v>Stopped by PPO reaching ideal</v>
      </c>
      <c r="W103" s="30" t="n">
        <f aca="false">F103+U103*(Weeks*J103+FirstFill)</f>
        <v>2028267.248</v>
      </c>
      <c r="X103" s="30" t="n">
        <f aca="false">E103+U103</f>
        <v>2113</v>
      </c>
      <c r="Y103" s="24" t="n">
        <f aca="false">IFERROR(W103/(X103*Weeks),0)</f>
        <v>18.4596021697186</v>
      </c>
      <c r="Z103" s="30" t="n">
        <f aca="false">IFERROR(D103/X103,0)</f>
        <v>750.338381448178</v>
      </c>
      <c r="AA103" s="7" t="str">
        <f aca="false">IF(AND(K103&gt;=NationalPCC,L103&gt;IdealPPO),"Q1: High PCC, High PPO",IF(K103&gt;=NationalPCC,"Q2: High PCC, Low PPO",IF(L103&gt;IdealPPO,"Q3: Low PCC, High PPO","Q4: Low PCC, Low PPO")))</f>
        <v>Q1: High PCC, High PPO</v>
      </c>
      <c r="AB103" s="7" t="str">
        <f aca="false">IF(K103&gt;=NationalPCC,IF(L103&gt;IdealPPO,"Phase 1","Phase 2"),"Phase 3")</f>
        <v>Phase 1</v>
      </c>
      <c r="AC103" s="7" t="str">
        <f aca="false">IF(AND(G103&gt;IdealTP,L103&gt;IdealPPO),"High TP, High PPO",IF(G103&gt;IdealTP,"High TP, Low PPO",IF(L103&gt;IdealPPO,"Low TP, High PPO","Low TP, Low PPO")))</f>
        <v>High TP, High PPO</v>
      </c>
      <c r="AD103" s="31" t="n">
        <f aca="false">INDEX(WaveNumbers,MATCH(C103,WaveNames,0))</f>
        <v>1</v>
      </c>
      <c r="AE103" s="32" t="n">
        <f aca="false">IF(U103&gt;0,AD103*10000000+VALUE(RIGHT(AB103,1))*1000000+(1000000-U103)+ROW()/1000000,"")</f>
        <v>11998980.000103</v>
      </c>
      <c r="AF103" s="31" t="n">
        <f aca="false">IF(U103&gt;0,COUNTIFS($AE$5:$AE$119,"&lt;"&amp;AE103)+1,"")</f>
        <v>6</v>
      </c>
      <c r="AG103" s="7" t="str">
        <f aca="false">IF(AF103="","No",IF(AF103&lt;=TopN,"Yes","No"))</f>
        <v>Yes</v>
      </c>
      <c r="AH103" s="30" t="n">
        <f aca="false">INT('District Data'!O103*ConvRate)</f>
        <v>169</v>
      </c>
      <c r="AI103" s="27" t="n">
        <f aca="false">MIN(U103,AH103)</f>
        <v>169</v>
      </c>
      <c r="AJ103" s="7" t="str">
        <f aca="false">IF(U103=0,"No expansion",IF(AH103&lt;U103,"Supply constrained (not enough shops)","Demand constrained (enough shops)"))</f>
        <v>Supply constrained (not enough shops)</v>
      </c>
      <c r="AK103" s="30" t="n">
        <f aca="false">IF(AG103="Yes",AI103,0)</f>
        <v>169</v>
      </c>
      <c r="AL103" s="26" t="n">
        <f aca="false">IF(AG103="Yes",IF(Budget1&gt;=ShortlistFinal,AK103,AK103/ShortlistFinal*Budget1),0)</f>
        <v>99.9260901699926</v>
      </c>
      <c r="AM103" s="30" t="n">
        <f aca="false">INT(AL103)</f>
        <v>99</v>
      </c>
      <c r="AN103" s="26" t="n">
        <f aca="false">IF(AND(AG103="Yes",Budget1&lt;ShortlistFinal),AL103-AM103,-1)</f>
        <v>0.926090169992619</v>
      </c>
      <c r="AO103" s="27" t="n">
        <f aca="false">IF(AG103&lt;&gt;"Yes",0,IF(Budget1&gt;=ShortlistFinal,AK103,AM103+IF(COUNTIFS($AN$5:$AN$119,"&gt;"&amp;AN103)+COUNTIFS($AN$5:$AN$119,AN103,$AF$5:$AF$119,"&lt;"&amp;AF103)&lt;Budget1-SUM($AM$5:$AM$119),1,0)))</f>
        <v>100</v>
      </c>
      <c r="AP103" s="26" t="n">
        <f aca="false">IF(AG103="Yes",IF(Budget2&gt;=ShortlistFinal,AK103,AK103/ShortlistFinal*Budget2),0)</f>
        <v>149.889135254989</v>
      </c>
      <c r="AQ103" s="30" t="n">
        <f aca="false">INT(AP103)</f>
        <v>149</v>
      </c>
      <c r="AR103" s="26" t="n">
        <f aca="false">IF(AND(AG103="Yes",Budget2&lt;ShortlistFinal),AP103-AQ103,-1)</f>
        <v>0.889135254988929</v>
      </c>
      <c r="AS103" s="27" t="n">
        <f aca="false">IF(AG103&lt;&gt;"Yes",0,IF(Budget2&gt;=ShortlistFinal,AK103,AQ103+IF(COUNTIFS($AR$5:$AR$119,"&gt;"&amp;AR103)+COUNTIFS($AR$5:$AR$119,AR103,$AF$5:$AF$119,"&lt;"&amp;AF103)&lt;Budget2-SUM($AQ$5:$AQ$119),1,0)))</f>
        <v>150</v>
      </c>
      <c r="AT103" s="26" t="n">
        <f aca="false">AK103*Share2025</f>
        <v>59.6470588235294</v>
      </c>
      <c r="AU103" s="26" t="n">
        <f aca="false">AK103*Share2026</f>
        <v>59.6470588235294</v>
      </c>
      <c r="AV103" s="26" t="n">
        <f aca="false">AK103*Share2027</f>
        <v>49.7058823529412</v>
      </c>
      <c r="AW103" s="31" t="n">
        <f aca="false">INT(AT103)</f>
        <v>59</v>
      </c>
      <c r="AX103" s="31" t="n">
        <f aca="false">INT(AU103)</f>
        <v>59</v>
      </c>
      <c r="AY103" s="31" t="n">
        <f aca="false">INT(AV103)</f>
        <v>49</v>
      </c>
      <c r="AZ103" s="26" t="n">
        <f aca="false">AT103-AW103</f>
        <v>0.647058823529427</v>
      </c>
      <c r="BA103" s="26" t="n">
        <f aca="false">AU103-AX103</f>
        <v>0.647058823529427</v>
      </c>
      <c r="BB103" s="26" t="n">
        <f aca="false">AV103-AY103</f>
        <v>0.705882352941167</v>
      </c>
      <c r="BC103" s="31" t="n">
        <f aca="false">AK103-AW103-AX103-AY103</f>
        <v>2</v>
      </c>
      <c r="BD103" s="27" t="n">
        <f aca="false">AW103+IF((BA103&gt;AZ103)+(BB103&gt;AZ103)&lt;BC103,1,0)</f>
        <v>60</v>
      </c>
      <c r="BE103" s="27" t="n">
        <f aca="false">AX103+IF((AZ103&gt;BA103)+(BB103&gt;BA103)+(AZ103=BA103)&lt;BC103,1,0)</f>
        <v>59</v>
      </c>
      <c r="BF103" s="27" t="n">
        <f aca="false">AY103+IF((AZ103&gt;BB103)+(BA103&gt;BB103)+(AZ103=BB103)+(BA103=BB103)&lt;BC103,1,0)</f>
        <v>50</v>
      </c>
    </row>
    <row r="104" customFormat="false" ht="15" hidden="false" customHeight="false" outlineLevel="0" collapsed="false">
      <c r="A104" s="22" t="str">
        <f aca="false">'District Data'!A104</f>
        <v>Sibi</v>
      </c>
      <c r="B104" s="22" t="str">
        <f aca="false">'District Data'!C104</f>
        <v>Multan Region</v>
      </c>
      <c r="C104" s="22" t="str">
        <f aca="false">'District Data'!D104</f>
        <v>Rest</v>
      </c>
      <c r="D104" s="23" t="n">
        <f aca="false">ROUND('District Data'!E104*'District Data'!F104,0)</f>
        <v>121161</v>
      </c>
      <c r="E104" s="23" t="n">
        <f aca="false">'District Data'!I104</f>
        <v>6</v>
      </c>
      <c r="F104" s="23" t="n">
        <f aca="false">'District Data'!L104</f>
        <v>2895.9</v>
      </c>
      <c r="G104" s="24" t="n">
        <f aca="false">IFERROR(F104/(E104*Weeks),0)</f>
        <v>9.28173076923077</v>
      </c>
      <c r="H104" s="25" t="n">
        <f aca="false">IFERROR('District Data'!N104/('District Data'!M104*Weeks),0)</f>
        <v>4.75576923076923</v>
      </c>
      <c r="I104" s="24" t="n">
        <f aca="false">IFERROR(SUMIFS('District Data'!$N$5:$N$119,'District Data'!$C$5:$C$119,B104)/(SUMIFS('District Data'!$M$5:$M$119,'District Data'!$C$5:$C$119,B104)*Weeks),0)</f>
        <v>8.16663285109386</v>
      </c>
      <c r="J104" s="24" t="n">
        <f aca="false">IF(TPBasis="NI TP",IF(H104&gt;0,H104,I104),G104)</f>
        <v>4.75576923076923</v>
      </c>
      <c r="K104" s="26" t="n">
        <f aca="false">IFERROR(F104/D104,0)</f>
        <v>0.0239012553544457</v>
      </c>
      <c r="L104" s="27" t="n">
        <f aca="false">IFERROR(D104/E104,0)</f>
        <v>20193.5</v>
      </c>
      <c r="M104" s="28" t="n">
        <f aca="false">IFERROR('District Data'!L104/'District Data'!K104-1,0)</f>
        <v>0.00881348846930963</v>
      </c>
      <c r="N104" s="28" t="n">
        <f aca="false">IFERROR(('District Data'!L104/'District Data'!J104)^(1/2)-1,0)</f>
        <v>-0.035236563163787</v>
      </c>
      <c r="O104" s="28" t="n">
        <f aca="false">IFERROR('District Data'!I104/'District Data'!H104-1,0)</f>
        <v>0.2</v>
      </c>
      <c r="P104" s="7" t="str">
        <f aca="false">IF(K104&gt;=PCC_L1,"Layer 01",IF(K104&gt;=PCC_L2,"Layer 02",IF(K104&gt;=PCC_L3,"Layer 03",IF(K104&gt;=PCC_L4,"Layer 04","Layer 05"))))</f>
        <v>Layer 05</v>
      </c>
      <c r="Q104" s="7" t="str">
        <f aca="false">IF(L104&gt;=PPO_L1,"Layer 01",IF(L104&gt;=PPO_L2,"Layer 02",IF(L104&gt;=PPO_L3,"Layer 03",IF(L104&gt;=PPO_L4,"Layer 04","Layer 05"))))</f>
        <v>Layer 02</v>
      </c>
      <c r="R104" s="29" t="n">
        <f aca="false">D104/IdealPPO-E104</f>
        <v>155.548</v>
      </c>
      <c r="S104" s="29" t="n">
        <f aca="false">IdealTP*Weeks-(Weeks*J104+FirstFill)</f>
        <v>452.7</v>
      </c>
      <c r="T104" s="29" t="n">
        <f aca="false">IF(S104&gt;0,(F104-IdealTP*Weeks*E104)/S104,1000000000000)</f>
        <v>-3.94102054340623</v>
      </c>
      <c r="U104" s="27" t="n">
        <f aca="false">IF(E104&lt;=0,0,IF(G104&lt;=IdealTP,0,IF(L104&lt;=IdealPPO,0,INT(MIN(T104,R104)+0.000000001))))</f>
        <v>0</v>
      </c>
      <c r="V104" s="7" t="str">
        <f aca="false">IF(E104&lt;=0,"No current outlets",IF(G104&lt;=IdealTP,"TP already at or below ideal",IF(L104&lt;=IdealPPO,"PPO already at or below ideal",IF(T104&lt;=R104,"Stopped by TP reaching ideal","Stopped by PPO reaching ideal"))))</f>
        <v>TP already at or below ideal</v>
      </c>
      <c r="W104" s="30" t="n">
        <f aca="false">F104+U104*(Weeks*J104+FirstFill)</f>
        <v>2895.9</v>
      </c>
      <c r="X104" s="30" t="n">
        <f aca="false">E104+U104</f>
        <v>6</v>
      </c>
      <c r="Y104" s="24" t="n">
        <f aca="false">IFERROR(W104/(X104*Weeks),0)</f>
        <v>9.28173076923077</v>
      </c>
      <c r="Z104" s="30" t="n">
        <f aca="false">IFERROR(D104/X104,0)</f>
        <v>20193.5</v>
      </c>
      <c r="AA104" s="7" t="str">
        <f aca="false">IF(AND(K104&gt;=NationalPCC,L104&gt;IdealPPO),"Q1: High PCC, High PPO",IF(K104&gt;=NationalPCC,"Q2: High PCC, Low PPO",IF(L104&gt;IdealPPO,"Q3: Low PCC, High PPO","Q4: Low PCC, Low PPO")))</f>
        <v>Q3: Low PCC, High PPO</v>
      </c>
      <c r="AB104" s="7" t="str">
        <f aca="false">IF(K104&gt;=NationalPCC,IF(L104&gt;IdealPPO,"Phase 1","Phase 2"),"Phase 3")</f>
        <v>Phase 3</v>
      </c>
      <c r="AC104" s="7" t="str">
        <f aca="false">IF(AND(G104&gt;IdealTP,L104&gt;IdealPPO),"High TP, High PPO",IF(G104&gt;IdealTP,"High TP, Low PPO",IF(L104&gt;IdealPPO,"Low TP, High PPO","Low TP, Low PPO")))</f>
        <v>Low TP, High PPO</v>
      </c>
      <c r="AD104" s="31" t="n">
        <f aca="false">INDEX(WaveNumbers,MATCH(C104,WaveNames,0))</f>
        <v>4</v>
      </c>
      <c r="AE104" s="32" t="str">
        <f aca="false">IF(U104&gt;0,AD104*10000000+VALUE(RIGHT(AB104,1))*1000000+(1000000-U104)+ROW()/1000000,"")</f>
        <v/>
      </c>
      <c r="AF104" s="31" t="str">
        <f aca="false">IF(U104&gt;0,COUNTIFS($AE$5:$AE$119,"&lt;"&amp;AE104)+1,"")</f>
        <v/>
      </c>
      <c r="AG104" s="7" t="str">
        <f aca="false">IF(AF104="","No",IF(AF104&lt;=TopN,"Yes","No"))</f>
        <v>No</v>
      </c>
      <c r="AH104" s="30" t="n">
        <f aca="false">INT('District Data'!O104*ConvRate)</f>
        <v>8</v>
      </c>
      <c r="AI104" s="27" t="n">
        <f aca="false">MIN(U104,AH104)</f>
        <v>0</v>
      </c>
      <c r="AJ104" s="7" t="str">
        <f aca="false">IF(U104=0,"No expansion",IF(AH104&lt;U104,"Supply constrained (not enough shops)","Demand constrained (enough shops)"))</f>
        <v>No expansion</v>
      </c>
      <c r="AK104" s="30" t="n">
        <f aca="false">IF(AG104="Yes",AI104,0)</f>
        <v>0</v>
      </c>
      <c r="AL104" s="26" t="n">
        <f aca="false">IF(AG104="Yes",IF(Budget1&gt;=ShortlistFinal,AK104,AK104/ShortlistFinal*Budget1),0)</f>
        <v>0</v>
      </c>
      <c r="AM104" s="30" t="n">
        <f aca="false">INT(AL104)</f>
        <v>0</v>
      </c>
      <c r="AN104" s="26" t="n">
        <f aca="false">IF(AND(AG104="Yes",Budget1&lt;ShortlistFinal),AL104-AM104,-1)</f>
        <v>-1</v>
      </c>
      <c r="AO104" s="27" t="n">
        <f aca="false">IF(AG104&lt;&gt;"Yes",0,IF(Budget1&gt;=ShortlistFinal,AK104,AM104+IF(COUNTIFS($AN$5:$AN$119,"&gt;"&amp;AN104)+COUNTIFS($AN$5:$AN$119,AN104,$AF$5:$AF$119,"&lt;"&amp;AF104)&lt;Budget1-SUM($AM$5:$AM$119),1,0)))</f>
        <v>0</v>
      </c>
      <c r="AP104" s="26" t="n">
        <f aca="false">IF(AG104="Yes",IF(Budget2&gt;=ShortlistFinal,AK104,AK104/ShortlistFinal*Budget2),0)</f>
        <v>0</v>
      </c>
      <c r="AQ104" s="30" t="n">
        <f aca="false">INT(AP104)</f>
        <v>0</v>
      </c>
      <c r="AR104" s="26" t="n">
        <f aca="false">IF(AND(AG104="Yes",Budget2&lt;ShortlistFinal),AP104-AQ104,-1)</f>
        <v>-1</v>
      </c>
      <c r="AS104" s="27" t="n">
        <f aca="false">IF(AG104&lt;&gt;"Yes",0,IF(Budget2&gt;=ShortlistFinal,AK104,AQ104+IF(COUNTIFS($AR$5:$AR$119,"&gt;"&amp;AR104)+COUNTIFS($AR$5:$AR$119,AR104,$AF$5:$AF$119,"&lt;"&amp;AF104)&lt;Budget2-SUM($AQ$5:$AQ$119),1,0)))</f>
        <v>0</v>
      </c>
      <c r="AT104" s="26" t="n">
        <f aca="false">AK104*Share2025</f>
        <v>0</v>
      </c>
      <c r="AU104" s="26" t="n">
        <f aca="false">AK104*Share2026</f>
        <v>0</v>
      </c>
      <c r="AV104" s="26" t="n">
        <f aca="false">AK104*Share2027</f>
        <v>0</v>
      </c>
      <c r="AW104" s="31" t="n">
        <f aca="false">INT(AT104)</f>
        <v>0</v>
      </c>
      <c r="AX104" s="31" t="n">
        <f aca="false">INT(AU104)</f>
        <v>0</v>
      </c>
      <c r="AY104" s="31" t="n">
        <f aca="false">INT(AV104)</f>
        <v>0</v>
      </c>
      <c r="AZ104" s="26" t="n">
        <f aca="false">AT104-AW104</f>
        <v>0</v>
      </c>
      <c r="BA104" s="26" t="n">
        <f aca="false">AU104-AX104</f>
        <v>0</v>
      </c>
      <c r="BB104" s="26" t="n">
        <f aca="false">AV104-AY104</f>
        <v>0</v>
      </c>
      <c r="BC104" s="31" t="n">
        <f aca="false">AK104-AW104-AX104-AY104</f>
        <v>0</v>
      </c>
      <c r="BD104" s="27" t="n">
        <f aca="false">AW104+IF((BA104&gt;AZ104)+(BB104&gt;AZ104)&lt;BC104,1,0)</f>
        <v>0</v>
      </c>
      <c r="BE104" s="27" t="n">
        <f aca="false">AX104+IF((AZ104&gt;BA104)+(BB104&gt;BA104)+(AZ104=BA104)&lt;BC104,1,0)</f>
        <v>0</v>
      </c>
      <c r="BF104" s="27" t="n">
        <f aca="false">AY104+IF((AZ104&gt;BB104)+(BA104&gt;BB104)+(AZ104=BB104)+(BA104=BB104)&lt;BC104,1,0)</f>
        <v>0</v>
      </c>
    </row>
    <row r="105" customFormat="false" ht="15" hidden="false" customHeight="false" outlineLevel="0" collapsed="false">
      <c r="A105" s="22" t="str">
        <f aca="false">'District Data'!A105</f>
        <v>South Waziristan</v>
      </c>
      <c r="B105" s="22" t="str">
        <f aca="false">'District Data'!C105</f>
        <v>Multan Region</v>
      </c>
      <c r="C105" s="22" t="str">
        <f aca="false">'District Data'!D105</f>
        <v>Rest</v>
      </c>
      <c r="D105" s="23" t="n">
        <f aca="false">ROUND('District Data'!E105*'District Data'!F105,0)</f>
        <v>117219</v>
      </c>
      <c r="E105" s="23" t="n">
        <f aca="false">'District Data'!I105</f>
        <v>9</v>
      </c>
      <c r="F105" s="23" t="n">
        <f aca="false">'District Data'!L105</f>
        <v>7395.7</v>
      </c>
      <c r="G105" s="24" t="n">
        <f aca="false">IFERROR(F105/(E105*Weeks),0)</f>
        <v>15.8027777777778</v>
      </c>
      <c r="H105" s="25" t="n">
        <f aca="false">IFERROR('District Data'!N105/('District Data'!M105*Weeks),0)</f>
        <v>8.2625</v>
      </c>
      <c r="I105" s="24" t="n">
        <f aca="false">IFERROR(SUMIFS('District Data'!$N$5:$N$119,'District Data'!$C$5:$C$119,B105)/(SUMIFS('District Data'!$M$5:$M$119,'District Data'!$C$5:$C$119,B105)*Weeks),0)</f>
        <v>8.16663285109386</v>
      </c>
      <c r="J105" s="24" t="n">
        <f aca="false">IF(TPBasis="NI TP",IF(H105&gt;0,H105,I105),G105)</f>
        <v>8.2625</v>
      </c>
      <c r="K105" s="26" t="n">
        <f aca="false">IFERROR(F105/D105,0)</f>
        <v>0.0630930139311886</v>
      </c>
      <c r="L105" s="27" t="n">
        <f aca="false">IFERROR(D105/E105,0)</f>
        <v>13024.3333333333</v>
      </c>
      <c r="M105" s="28" t="n">
        <f aca="false">IFERROR('District Data'!L105/'District Data'!K105-1,0)</f>
        <v>0.421429944262925</v>
      </c>
      <c r="N105" s="28" t="n">
        <f aca="false">IFERROR(('District Data'!L105/'District Data'!J105)^(1/2)-1,0)</f>
        <v>0.158989302172388</v>
      </c>
      <c r="O105" s="28" t="n">
        <f aca="false">IFERROR('District Data'!I105/'District Data'!H105-1,0)</f>
        <v>0.285714285714286</v>
      </c>
      <c r="P105" s="7" t="str">
        <f aca="false">IF(K105&gt;=PCC_L1,"Layer 01",IF(K105&gt;=PCC_L2,"Layer 02",IF(K105&gt;=PCC_L3,"Layer 03",IF(K105&gt;=PCC_L4,"Layer 04","Layer 05"))))</f>
        <v>Layer 05</v>
      </c>
      <c r="Q105" s="7" t="str">
        <f aca="false">IF(L105&gt;=PPO_L1,"Layer 01",IF(L105&gt;=PPO_L2,"Layer 02",IF(L105&gt;=PPO_L3,"Layer 03",IF(L105&gt;=PPO_L4,"Layer 04","Layer 05"))))</f>
        <v>Layer 03</v>
      </c>
      <c r="R105" s="29" t="n">
        <f aca="false">D105/IdealPPO-E105</f>
        <v>147.292</v>
      </c>
      <c r="S105" s="29" t="n">
        <f aca="false">IdealTP*Weeks-(Weeks*J105+FirstFill)</f>
        <v>270.35</v>
      </c>
      <c r="T105" s="29" t="n">
        <f aca="false">IF(S105&gt;0,(F105-IdealTP*Weeks*E105)/S105,1000000000000)</f>
        <v>1.38968004438691</v>
      </c>
      <c r="U105" s="27" t="n">
        <f aca="false">IF(E105&lt;=0,0,IF(G105&lt;=IdealTP,0,IF(L105&lt;=IdealPPO,0,INT(MIN(T105,R105)+0.000000001))))</f>
        <v>1</v>
      </c>
      <c r="V105" s="7" t="str">
        <f aca="false">IF(E105&lt;=0,"No current outlets",IF(G105&lt;=IdealTP,"TP already at or below ideal",IF(L105&lt;=IdealPPO,"PPO already at or below ideal",IF(T105&lt;=R105,"Stopped by TP reaching ideal","Stopped by PPO reaching ideal"))))</f>
        <v>Stopped by TP reaching ideal</v>
      </c>
      <c r="W105" s="30" t="n">
        <f aca="false">F105+U105*(Weeks*J105+FirstFill)</f>
        <v>7905.35</v>
      </c>
      <c r="X105" s="30" t="n">
        <f aca="false">E105+U105</f>
        <v>10</v>
      </c>
      <c r="Y105" s="24" t="n">
        <f aca="false">IFERROR(W105/(X105*Weeks),0)</f>
        <v>15.2025961538462</v>
      </c>
      <c r="Z105" s="30" t="n">
        <f aca="false">IFERROR(D105/X105,0)</f>
        <v>11721.9</v>
      </c>
      <c r="AA105" s="7" t="str">
        <f aca="false">IF(AND(K105&gt;=NationalPCC,L105&gt;IdealPPO),"Q1: High PCC, High PPO",IF(K105&gt;=NationalPCC,"Q2: High PCC, Low PPO",IF(L105&gt;IdealPPO,"Q3: Low PCC, High PPO","Q4: Low PCC, Low PPO")))</f>
        <v>Q3: Low PCC, High PPO</v>
      </c>
      <c r="AB105" s="7" t="str">
        <f aca="false">IF(K105&gt;=NationalPCC,IF(L105&gt;IdealPPO,"Phase 1","Phase 2"),"Phase 3")</f>
        <v>Phase 3</v>
      </c>
      <c r="AC105" s="7" t="str">
        <f aca="false">IF(AND(G105&gt;IdealTP,L105&gt;IdealPPO),"High TP, High PPO",IF(G105&gt;IdealTP,"High TP, Low PPO",IF(L105&gt;IdealPPO,"Low TP, High PPO","Low TP, Low PPO")))</f>
        <v>High TP, High PPO</v>
      </c>
      <c r="AD105" s="31" t="n">
        <f aca="false">INDEX(WaveNumbers,MATCH(C105,WaveNames,0))</f>
        <v>4</v>
      </c>
      <c r="AE105" s="32" t="n">
        <f aca="false">IF(U105&gt;0,AD105*10000000+VALUE(RIGHT(AB105,1))*1000000+(1000000-U105)+ROW()/1000000,"")</f>
        <v>43999999.000105</v>
      </c>
      <c r="AF105" s="31" t="n">
        <f aca="false">IF(U105&gt;0,COUNTIFS($AE$5:$AE$119,"&lt;"&amp;AE105)+1,"")</f>
        <v>44</v>
      </c>
      <c r="AG105" s="7" t="str">
        <f aca="false">IF(AF105="","No",IF(AF105&lt;=TopN,"Yes","No"))</f>
        <v>Yes</v>
      </c>
      <c r="AH105" s="30" t="n">
        <f aca="false">INT('District Data'!O105*ConvRate)</f>
        <v>10</v>
      </c>
      <c r="AI105" s="27" t="n">
        <f aca="false">MIN(U105,AH105)</f>
        <v>1</v>
      </c>
      <c r="AJ105" s="7" t="str">
        <f aca="false">IF(U105=0,"No expansion",IF(AH105&lt;U105,"Supply constrained (not enough shops)","Demand constrained (enough shops)"))</f>
        <v>Demand constrained (enough shops)</v>
      </c>
      <c r="AK105" s="30" t="n">
        <f aca="false">IF(AG105="Yes",AI105,0)</f>
        <v>1</v>
      </c>
      <c r="AL105" s="26" t="n">
        <f aca="false">IF(AG105="Yes",IF(Budget1&gt;=ShortlistFinal,AK105,AK105/ShortlistFinal*Budget1),0)</f>
        <v>0.591278640059128</v>
      </c>
      <c r="AM105" s="30" t="n">
        <f aca="false">INT(AL105)</f>
        <v>0</v>
      </c>
      <c r="AN105" s="26" t="n">
        <f aca="false">IF(AND(AG105="Yes",Budget1&lt;ShortlistFinal),AL105-AM105,-1)</f>
        <v>0.591278640059128</v>
      </c>
      <c r="AO105" s="27" t="n">
        <f aca="false">IF(AG105&lt;&gt;"Yes",0,IF(Budget1&gt;=ShortlistFinal,AK105,AM105+IF(COUNTIFS($AN$5:$AN$119,"&gt;"&amp;AN105)+COUNTIFS($AN$5:$AN$119,AN105,$AF$5:$AF$119,"&lt;"&amp;AF105)&lt;Budget1-SUM($AM$5:$AM$119),1,0)))</f>
        <v>1</v>
      </c>
      <c r="AP105" s="26" t="n">
        <f aca="false">IF(AG105="Yes",IF(Budget2&gt;=ShortlistFinal,AK105,AK105/ShortlistFinal*Budget2),0)</f>
        <v>0.886917960088692</v>
      </c>
      <c r="AQ105" s="30" t="n">
        <f aca="false">INT(AP105)</f>
        <v>0</v>
      </c>
      <c r="AR105" s="26" t="n">
        <f aca="false">IF(AND(AG105="Yes",Budget2&lt;ShortlistFinal),AP105-AQ105,-1)</f>
        <v>0.886917960088692</v>
      </c>
      <c r="AS105" s="27" t="n">
        <f aca="false">IF(AG105&lt;&gt;"Yes",0,IF(Budget2&gt;=ShortlistFinal,AK105,AQ105+IF(COUNTIFS($AR$5:$AR$119,"&gt;"&amp;AR105)+COUNTIFS($AR$5:$AR$119,AR105,$AF$5:$AF$119,"&lt;"&amp;AF105)&lt;Budget2-SUM($AQ$5:$AQ$119),1,0)))</f>
        <v>1</v>
      </c>
      <c r="AT105" s="26" t="n">
        <f aca="false">AK105*Share2025</f>
        <v>0.352941176470588</v>
      </c>
      <c r="AU105" s="26" t="n">
        <f aca="false">AK105*Share2026</f>
        <v>0.352941176470588</v>
      </c>
      <c r="AV105" s="26" t="n">
        <f aca="false">AK105*Share2027</f>
        <v>0.294117647058824</v>
      </c>
      <c r="AW105" s="31" t="n">
        <f aca="false">INT(AT105)</f>
        <v>0</v>
      </c>
      <c r="AX105" s="31" t="n">
        <f aca="false">INT(AU105)</f>
        <v>0</v>
      </c>
      <c r="AY105" s="31" t="n">
        <f aca="false">INT(AV105)</f>
        <v>0</v>
      </c>
      <c r="AZ105" s="26" t="n">
        <f aca="false">AT105-AW105</f>
        <v>0.352941176470588</v>
      </c>
      <c r="BA105" s="26" t="n">
        <f aca="false">AU105-AX105</f>
        <v>0.352941176470588</v>
      </c>
      <c r="BB105" s="26" t="n">
        <f aca="false">AV105-AY105</f>
        <v>0.294117647058824</v>
      </c>
      <c r="BC105" s="31" t="n">
        <f aca="false">AK105-AW105-AX105-AY105</f>
        <v>1</v>
      </c>
      <c r="BD105" s="27" t="n">
        <f aca="false">AW105+IF((BA105&gt;AZ105)+(BB105&gt;AZ105)&lt;BC105,1,0)</f>
        <v>1</v>
      </c>
      <c r="BE105" s="27" t="n">
        <f aca="false">AX105+IF((AZ105&gt;BA105)+(BB105&gt;BA105)+(AZ105=BA105)&lt;BC105,1,0)</f>
        <v>0</v>
      </c>
      <c r="BF105" s="27" t="n">
        <f aca="false">AY105+IF((AZ105&gt;BB105)+(BA105&gt;BB105)+(AZ105=BB105)+(BA105=BB105)&lt;BC105,1,0)</f>
        <v>0</v>
      </c>
    </row>
    <row r="106" customFormat="false" ht="15" hidden="false" customHeight="false" outlineLevel="0" collapsed="false">
      <c r="A106" s="22" t="str">
        <f aca="false">'District Data'!A106</f>
        <v>Sukkur</v>
      </c>
      <c r="B106" s="22" t="str">
        <f aca="false">'District Data'!C106</f>
        <v>Karachi Region</v>
      </c>
      <c r="C106" s="22" t="str">
        <f aca="false">'District Data'!D106</f>
        <v>Population High</v>
      </c>
      <c r="D106" s="23" t="n">
        <f aca="false">ROUND('District Data'!E106*'District Data'!F106,0)</f>
        <v>748308</v>
      </c>
      <c r="E106" s="23" t="n">
        <f aca="false">'District Data'!I106</f>
        <v>74</v>
      </c>
      <c r="F106" s="23" t="n">
        <f aca="false">'District Data'!L106</f>
        <v>53411.3</v>
      </c>
      <c r="G106" s="24" t="n">
        <f aca="false">IFERROR(F106/(E106*Weeks),0)</f>
        <v>13.8802754677755</v>
      </c>
      <c r="H106" s="25" t="n">
        <f aca="false">IFERROR('District Data'!N106/('District Data'!M106*Weeks),0)</f>
        <v>6.49519230769231</v>
      </c>
      <c r="I106" s="24" t="n">
        <f aca="false">IFERROR(SUMIFS('District Data'!$N$5:$N$119,'District Data'!$C$5:$C$119,B106)/(SUMIFS('District Data'!$M$5:$M$119,'District Data'!$C$5:$C$119,B106)*Weeks),0)</f>
        <v>12.952446872194</v>
      </c>
      <c r="J106" s="24" t="n">
        <f aca="false">IF(TPBasis="NI TP",IF(H106&gt;0,H106,I106),G106)</f>
        <v>6.49519230769231</v>
      </c>
      <c r="K106" s="26" t="n">
        <f aca="false">IFERROR(F106/D106,0)</f>
        <v>0.071376091128252</v>
      </c>
      <c r="L106" s="27" t="n">
        <f aca="false">IFERROR(D106/E106,0)</f>
        <v>10112.2702702703</v>
      </c>
      <c r="M106" s="28" t="n">
        <f aca="false">IFERROR('District Data'!L106/'District Data'!K106-1,0)</f>
        <v>-0.0181656081397806</v>
      </c>
      <c r="N106" s="28" t="n">
        <f aca="false">IFERROR(('District Data'!L106/'District Data'!J106)^(1/2)-1,0)</f>
        <v>-0.0208623315690087</v>
      </c>
      <c r="O106" s="28" t="n">
        <f aca="false">IFERROR('District Data'!I106/'District Data'!H106-1,0)</f>
        <v>0.088235294117647</v>
      </c>
      <c r="P106" s="7" t="str">
        <f aca="false">IF(K106&gt;=PCC_L1,"Layer 01",IF(K106&gt;=PCC_L2,"Layer 02",IF(K106&gt;=PCC_L3,"Layer 03",IF(K106&gt;=PCC_L4,"Layer 04","Layer 05"))))</f>
        <v>Layer 05</v>
      </c>
      <c r="Q106" s="7" t="str">
        <f aca="false">IF(L106&gt;=PPO_L1,"Layer 01",IF(L106&gt;=PPO_L2,"Layer 02",IF(L106&gt;=PPO_L3,"Layer 03",IF(L106&gt;=PPO_L4,"Layer 04","Layer 05"))))</f>
        <v>Layer 03</v>
      </c>
      <c r="R106" s="29" t="n">
        <f aca="false">D106/IdealPPO-E106</f>
        <v>923.744</v>
      </c>
      <c r="S106" s="29" t="n">
        <f aca="false">IdealTP*Weeks-(Weeks*J106+FirstFill)</f>
        <v>362.25</v>
      </c>
      <c r="T106" s="29" t="n">
        <f aca="false">IF(S106&gt;0,(F106-IdealTP*Weeks*E106)/S106,1000000000000)</f>
        <v>-11.8942719116632</v>
      </c>
      <c r="U106" s="27" t="n">
        <f aca="false">IF(E106&lt;=0,0,IF(G106&lt;=IdealTP,0,IF(L106&lt;=IdealPPO,0,INT(MIN(T106,R106)+0.000000001))))</f>
        <v>0</v>
      </c>
      <c r="V106" s="7" t="str">
        <f aca="false">IF(E106&lt;=0,"No current outlets",IF(G106&lt;=IdealTP,"TP already at or below ideal",IF(L106&lt;=IdealPPO,"PPO already at or below ideal",IF(T106&lt;=R106,"Stopped by TP reaching ideal","Stopped by PPO reaching ideal"))))</f>
        <v>TP already at or below ideal</v>
      </c>
      <c r="W106" s="30" t="n">
        <f aca="false">F106+U106*(Weeks*J106+FirstFill)</f>
        <v>53411.3</v>
      </c>
      <c r="X106" s="30" t="n">
        <f aca="false">E106+U106</f>
        <v>74</v>
      </c>
      <c r="Y106" s="24" t="n">
        <f aca="false">IFERROR(W106/(X106*Weeks),0)</f>
        <v>13.8802754677755</v>
      </c>
      <c r="Z106" s="30" t="n">
        <f aca="false">IFERROR(D106/X106,0)</f>
        <v>10112.2702702703</v>
      </c>
      <c r="AA106" s="7" t="str">
        <f aca="false">IF(AND(K106&gt;=NationalPCC,L106&gt;IdealPPO),"Q1: High PCC, High PPO",IF(K106&gt;=NationalPCC,"Q2: High PCC, Low PPO",IF(L106&gt;IdealPPO,"Q3: Low PCC, High PPO","Q4: Low PCC, Low PPO")))</f>
        <v>Q3: Low PCC, High PPO</v>
      </c>
      <c r="AB106" s="7" t="str">
        <f aca="false">IF(K106&gt;=NationalPCC,IF(L106&gt;IdealPPO,"Phase 1","Phase 2"),"Phase 3")</f>
        <v>Phase 3</v>
      </c>
      <c r="AC106" s="7" t="str">
        <f aca="false">IF(AND(G106&gt;IdealTP,L106&gt;IdealPPO),"High TP, High PPO",IF(G106&gt;IdealTP,"High TP, Low PPO",IF(L106&gt;IdealPPO,"Low TP, High PPO","Low TP, Low PPO")))</f>
        <v>Low TP, High PPO</v>
      </c>
      <c r="AD106" s="31" t="n">
        <f aca="false">INDEX(WaveNumbers,MATCH(C106,WaveNames,0))</f>
        <v>3</v>
      </c>
      <c r="AE106" s="32" t="str">
        <f aca="false">IF(U106&gt;0,AD106*10000000+VALUE(RIGHT(AB106,1))*1000000+(1000000-U106)+ROW()/1000000,"")</f>
        <v/>
      </c>
      <c r="AF106" s="31" t="str">
        <f aca="false">IF(U106&gt;0,COUNTIFS($AE$5:$AE$119,"&lt;"&amp;AE106)+1,"")</f>
        <v/>
      </c>
      <c r="AG106" s="7" t="str">
        <f aca="false">IF(AF106="","No",IF(AF106&lt;=TopN,"Yes","No"))</f>
        <v>No</v>
      </c>
      <c r="AH106" s="30" t="n">
        <f aca="false">INT('District Data'!O106*ConvRate)</f>
        <v>100</v>
      </c>
      <c r="AI106" s="27" t="n">
        <f aca="false">MIN(U106,AH106)</f>
        <v>0</v>
      </c>
      <c r="AJ106" s="7" t="str">
        <f aca="false">IF(U106=0,"No expansion",IF(AH106&lt;U106,"Supply constrained (not enough shops)","Demand constrained (enough shops)"))</f>
        <v>No expansion</v>
      </c>
      <c r="AK106" s="30" t="n">
        <f aca="false">IF(AG106="Yes",AI106,0)</f>
        <v>0</v>
      </c>
      <c r="AL106" s="26" t="n">
        <f aca="false">IF(AG106="Yes",IF(Budget1&gt;=ShortlistFinal,AK106,AK106/ShortlistFinal*Budget1),0)</f>
        <v>0</v>
      </c>
      <c r="AM106" s="30" t="n">
        <f aca="false">INT(AL106)</f>
        <v>0</v>
      </c>
      <c r="AN106" s="26" t="n">
        <f aca="false">IF(AND(AG106="Yes",Budget1&lt;ShortlistFinal),AL106-AM106,-1)</f>
        <v>-1</v>
      </c>
      <c r="AO106" s="27" t="n">
        <f aca="false">IF(AG106&lt;&gt;"Yes",0,IF(Budget1&gt;=ShortlistFinal,AK106,AM106+IF(COUNTIFS($AN$5:$AN$119,"&gt;"&amp;AN106)+COUNTIFS($AN$5:$AN$119,AN106,$AF$5:$AF$119,"&lt;"&amp;AF106)&lt;Budget1-SUM($AM$5:$AM$119),1,0)))</f>
        <v>0</v>
      </c>
      <c r="AP106" s="26" t="n">
        <f aca="false">IF(AG106="Yes",IF(Budget2&gt;=ShortlistFinal,AK106,AK106/ShortlistFinal*Budget2),0)</f>
        <v>0</v>
      </c>
      <c r="AQ106" s="30" t="n">
        <f aca="false">INT(AP106)</f>
        <v>0</v>
      </c>
      <c r="AR106" s="26" t="n">
        <f aca="false">IF(AND(AG106="Yes",Budget2&lt;ShortlistFinal),AP106-AQ106,-1)</f>
        <v>-1</v>
      </c>
      <c r="AS106" s="27" t="n">
        <f aca="false">IF(AG106&lt;&gt;"Yes",0,IF(Budget2&gt;=ShortlistFinal,AK106,AQ106+IF(COUNTIFS($AR$5:$AR$119,"&gt;"&amp;AR106)+COUNTIFS($AR$5:$AR$119,AR106,$AF$5:$AF$119,"&lt;"&amp;AF106)&lt;Budget2-SUM($AQ$5:$AQ$119),1,0)))</f>
        <v>0</v>
      </c>
      <c r="AT106" s="26" t="n">
        <f aca="false">AK106*Share2025</f>
        <v>0</v>
      </c>
      <c r="AU106" s="26" t="n">
        <f aca="false">AK106*Share2026</f>
        <v>0</v>
      </c>
      <c r="AV106" s="26" t="n">
        <f aca="false">AK106*Share2027</f>
        <v>0</v>
      </c>
      <c r="AW106" s="31" t="n">
        <f aca="false">INT(AT106)</f>
        <v>0</v>
      </c>
      <c r="AX106" s="31" t="n">
        <f aca="false">INT(AU106)</f>
        <v>0</v>
      </c>
      <c r="AY106" s="31" t="n">
        <f aca="false">INT(AV106)</f>
        <v>0</v>
      </c>
      <c r="AZ106" s="26" t="n">
        <f aca="false">AT106-AW106</f>
        <v>0</v>
      </c>
      <c r="BA106" s="26" t="n">
        <f aca="false">AU106-AX106</f>
        <v>0</v>
      </c>
      <c r="BB106" s="26" t="n">
        <f aca="false">AV106-AY106</f>
        <v>0</v>
      </c>
      <c r="BC106" s="31" t="n">
        <f aca="false">AK106-AW106-AX106-AY106</f>
        <v>0</v>
      </c>
      <c r="BD106" s="27" t="n">
        <f aca="false">AW106+IF((BA106&gt;AZ106)+(BB106&gt;AZ106)&lt;BC106,1,0)</f>
        <v>0</v>
      </c>
      <c r="BE106" s="27" t="n">
        <f aca="false">AX106+IF((AZ106&gt;BA106)+(BB106&gt;BA106)+(AZ106=BA106)&lt;BC106,1,0)</f>
        <v>0</v>
      </c>
      <c r="BF106" s="27" t="n">
        <f aca="false">AY106+IF((AZ106&gt;BB106)+(BA106&gt;BB106)+(AZ106=BB106)+(BA106=BB106)&lt;BC106,1,0)</f>
        <v>0</v>
      </c>
    </row>
    <row r="107" customFormat="false" ht="15" hidden="false" customHeight="false" outlineLevel="0" collapsed="false">
      <c r="A107" s="22" t="str">
        <f aca="false">'District Data'!A107</f>
        <v>Swabi</v>
      </c>
      <c r="B107" s="22" t="str">
        <f aca="false">'District Data'!C107</f>
        <v>Islamabad Region</v>
      </c>
      <c r="C107" s="22" t="str">
        <f aca="false">'District Data'!D107</f>
        <v>Neighbouring</v>
      </c>
      <c r="D107" s="23" t="n">
        <f aca="false">ROUND('District Data'!E107*'District Data'!F107,0)</f>
        <v>621950</v>
      </c>
      <c r="E107" s="23" t="n">
        <f aca="false">'District Data'!I107</f>
        <v>298</v>
      </c>
      <c r="F107" s="23" t="n">
        <f aca="false">'District Data'!L107</f>
        <v>195190.3</v>
      </c>
      <c r="G107" s="24" t="n">
        <f aca="false">IFERROR(F107/(E107*Weeks),0)</f>
        <v>12.5961732059886</v>
      </c>
      <c r="H107" s="25" t="n">
        <f aca="false">IFERROR('District Data'!N107/('District Data'!M107*Weeks),0)</f>
        <v>8.94731934731935</v>
      </c>
      <c r="I107" s="24" t="n">
        <f aca="false">IFERROR(SUMIFS('District Data'!$N$5:$N$119,'District Data'!$C$5:$C$119,B107)/(SUMIFS('District Data'!$M$5:$M$119,'District Data'!$C$5:$C$119,B107)*Weeks),0)</f>
        <v>8.40311578665237</v>
      </c>
      <c r="J107" s="24" t="n">
        <f aca="false">IF(TPBasis="NI TP",IF(H107&gt;0,H107,I107),G107)</f>
        <v>8.94731934731935</v>
      </c>
      <c r="K107" s="26" t="n">
        <f aca="false">IFERROR(F107/D107,0)</f>
        <v>0.313835999678431</v>
      </c>
      <c r="L107" s="27" t="n">
        <f aca="false">IFERROR(D107/E107,0)</f>
        <v>2087.08053691275</v>
      </c>
      <c r="M107" s="28" t="n">
        <f aca="false">IFERROR('District Data'!L107/'District Data'!K107-1,0)</f>
        <v>0.0091395778671044</v>
      </c>
      <c r="N107" s="28" t="n">
        <f aca="false">IFERROR(('District Data'!L107/'District Data'!J107)^(1/2)-1,0)</f>
        <v>0.00224870856149884</v>
      </c>
      <c r="O107" s="28" t="n">
        <f aca="false">IFERROR('District Data'!I107/'District Data'!H107-1,0)</f>
        <v>0.0875912408759123</v>
      </c>
      <c r="P107" s="7" t="str">
        <f aca="false">IF(K107&gt;=PCC_L1,"Layer 01",IF(K107&gt;=PCC_L2,"Layer 02",IF(K107&gt;=PCC_L3,"Layer 03",IF(K107&gt;=PCC_L4,"Layer 04","Layer 05"))))</f>
        <v>Layer 04</v>
      </c>
      <c r="Q107" s="7" t="str">
        <f aca="false">IF(L107&gt;=PPO_L1,"Layer 01",IF(L107&gt;=PPO_L2,"Layer 02",IF(L107&gt;=PPO_L3,"Layer 03",IF(L107&gt;=PPO_L4,"Layer 04","Layer 05"))))</f>
        <v>Layer 04</v>
      </c>
      <c r="R107" s="29" t="n">
        <f aca="false">D107/IdealPPO-E107</f>
        <v>531.266666666667</v>
      </c>
      <c r="S107" s="29" t="n">
        <f aca="false">IdealTP*Weeks-(Weeks*J107+FirstFill)</f>
        <v>234.739393939394</v>
      </c>
      <c r="T107" s="29" t="n">
        <f aca="false">IF(S107&gt;0,(F107-IdealTP*Weeks*E107)/S107,1000000000000)</f>
        <v>-158.685337705257</v>
      </c>
      <c r="U107" s="27" t="n">
        <f aca="false">IF(E107&lt;=0,0,IF(G107&lt;=IdealTP,0,IF(L107&lt;=IdealPPO,0,INT(MIN(T107,R107)+0.000000001))))</f>
        <v>0</v>
      </c>
      <c r="V107" s="7" t="str">
        <f aca="false">IF(E107&lt;=0,"No current outlets",IF(G107&lt;=IdealTP,"TP already at or below ideal",IF(L107&lt;=IdealPPO,"PPO already at or below ideal",IF(T107&lt;=R107,"Stopped by TP reaching ideal","Stopped by PPO reaching ideal"))))</f>
        <v>TP already at or below ideal</v>
      </c>
      <c r="W107" s="30" t="n">
        <f aca="false">F107+U107*(Weeks*J107+FirstFill)</f>
        <v>195190.3</v>
      </c>
      <c r="X107" s="30" t="n">
        <f aca="false">E107+U107</f>
        <v>298</v>
      </c>
      <c r="Y107" s="24" t="n">
        <f aca="false">IFERROR(W107/(X107*Weeks),0)</f>
        <v>12.5961732059886</v>
      </c>
      <c r="Z107" s="30" t="n">
        <f aca="false">IFERROR(D107/X107,0)</f>
        <v>2087.08053691275</v>
      </c>
      <c r="AA107" s="7" t="str">
        <f aca="false">IF(AND(K107&gt;=NationalPCC,L107&gt;IdealPPO),"Q1: High PCC, High PPO",IF(K107&gt;=NationalPCC,"Q2: High PCC, Low PPO",IF(L107&gt;IdealPPO,"Q3: Low PCC, High PPO","Q4: Low PCC, Low PPO")))</f>
        <v>Q3: Low PCC, High PPO</v>
      </c>
      <c r="AB107" s="7" t="str">
        <f aca="false">IF(K107&gt;=NationalPCC,IF(L107&gt;IdealPPO,"Phase 1","Phase 2"),"Phase 3")</f>
        <v>Phase 3</v>
      </c>
      <c r="AC107" s="7" t="str">
        <f aca="false">IF(AND(G107&gt;IdealTP,L107&gt;IdealPPO),"High TP, High PPO",IF(G107&gt;IdealTP,"High TP, Low PPO",IF(L107&gt;IdealPPO,"Low TP, High PPO","Low TP, Low PPO")))</f>
        <v>Low TP, High PPO</v>
      </c>
      <c r="AD107" s="31" t="n">
        <f aca="false">INDEX(WaveNumbers,MATCH(C107,WaveNames,0))</f>
        <v>2</v>
      </c>
      <c r="AE107" s="32" t="str">
        <f aca="false">IF(U107&gt;0,AD107*10000000+VALUE(RIGHT(AB107,1))*1000000+(1000000-U107)+ROW()/1000000,"")</f>
        <v/>
      </c>
      <c r="AF107" s="31" t="str">
        <f aca="false">IF(U107&gt;0,COUNTIFS($AE$5:$AE$119,"&lt;"&amp;AE107)+1,"")</f>
        <v/>
      </c>
      <c r="AG107" s="7" t="str">
        <f aca="false">IF(AF107="","No",IF(AF107&lt;=TopN,"Yes","No"))</f>
        <v>No</v>
      </c>
      <c r="AH107" s="30" t="n">
        <f aca="false">INT('District Data'!O107*ConvRate)</f>
        <v>68</v>
      </c>
      <c r="AI107" s="27" t="n">
        <f aca="false">MIN(U107,AH107)</f>
        <v>0</v>
      </c>
      <c r="AJ107" s="7" t="str">
        <f aca="false">IF(U107=0,"No expansion",IF(AH107&lt;U107,"Supply constrained (not enough shops)","Demand constrained (enough shops)"))</f>
        <v>No expansion</v>
      </c>
      <c r="AK107" s="30" t="n">
        <f aca="false">IF(AG107="Yes",AI107,0)</f>
        <v>0</v>
      </c>
      <c r="AL107" s="26" t="n">
        <f aca="false">IF(AG107="Yes",IF(Budget1&gt;=ShortlistFinal,AK107,AK107/ShortlistFinal*Budget1),0)</f>
        <v>0</v>
      </c>
      <c r="AM107" s="30" t="n">
        <f aca="false">INT(AL107)</f>
        <v>0</v>
      </c>
      <c r="AN107" s="26" t="n">
        <f aca="false">IF(AND(AG107="Yes",Budget1&lt;ShortlistFinal),AL107-AM107,-1)</f>
        <v>-1</v>
      </c>
      <c r="AO107" s="27" t="n">
        <f aca="false">IF(AG107&lt;&gt;"Yes",0,IF(Budget1&gt;=ShortlistFinal,AK107,AM107+IF(COUNTIFS($AN$5:$AN$119,"&gt;"&amp;AN107)+COUNTIFS($AN$5:$AN$119,AN107,$AF$5:$AF$119,"&lt;"&amp;AF107)&lt;Budget1-SUM($AM$5:$AM$119),1,0)))</f>
        <v>0</v>
      </c>
      <c r="AP107" s="26" t="n">
        <f aca="false">IF(AG107="Yes",IF(Budget2&gt;=ShortlistFinal,AK107,AK107/ShortlistFinal*Budget2),0)</f>
        <v>0</v>
      </c>
      <c r="AQ107" s="30" t="n">
        <f aca="false">INT(AP107)</f>
        <v>0</v>
      </c>
      <c r="AR107" s="26" t="n">
        <f aca="false">IF(AND(AG107="Yes",Budget2&lt;ShortlistFinal),AP107-AQ107,-1)</f>
        <v>-1</v>
      </c>
      <c r="AS107" s="27" t="n">
        <f aca="false">IF(AG107&lt;&gt;"Yes",0,IF(Budget2&gt;=ShortlistFinal,AK107,AQ107+IF(COUNTIFS($AR$5:$AR$119,"&gt;"&amp;AR107)+COUNTIFS($AR$5:$AR$119,AR107,$AF$5:$AF$119,"&lt;"&amp;AF107)&lt;Budget2-SUM($AQ$5:$AQ$119),1,0)))</f>
        <v>0</v>
      </c>
      <c r="AT107" s="26" t="n">
        <f aca="false">AK107*Share2025</f>
        <v>0</v>
      </c>
      <c r="AU107" s="26" t="n">
        <f aca="false">AK107*Share2026</f>
        <v>0</v>
      </c>
      <c r="AV107" s="26" t="n">
        <f aca="false">AK107*Share2027</f>
        <v>0</v>
      </c>
      <c r="AW107" s="31" t="n">
        <f aca="false">INT(AT107)</f>
        <v>0</v>
      </c>
      <c r="AX107" s="31" t="n">
        <f aca="false">INT(AU107)</f>
        <v>0</v>
      </c>
      <c r="AY107" s="31" t="n">
        <f aca="false">INT(AV107)</f>
        <v>0</v>
      </c>
      <c r="AZ107" s="26" t="n">
        <f aca="false">AT107-AW107</f>
        <v>0</v>
      </c>
      <c r="BA107" s="26" t="n">
        <f aca="false">AU107-AX107</f>
        <v>0</v>
      </c>
      <c r="BB107" s="26" t="n">
        <f aca="false">AV107-AY107</f>
        <v>0</v>
      </c>
      <c r="BC107" s="31" t="n">
        <f aca="false">AK107-AW107-AX107-AY107</f>
        <v>0</v>
      </c>
      <c r="BD107" s="27" t="n">
        <f aca="false">AW107+IF((BA107&gt;AZ107)+(BB107&gt;AZ107)&lt;BC107,1,0)</f>
        <v>0</v>
      </c>
      <c r="BE107" s="27" t="n">
        <f aca="false">AX107+IF((AZ107&gt;BA107)+(BB107&gt;BA107)+(AZ107=BA107)&lt;BC107,1,0)</f>
        <v>0</v>
      </c>
      <c r="BF107" s="27" t="n">
        <f aca="false">AY107+IF((AZ107&gt;BB107)+(BA107&gt;BB107)+(AZ107=BB107)+(BA107=BB107)&lt;BC107,1,0)</f>
        <v>0</v>
      </c>
    </row>
    <row r="108" customFormat="false" ht="15" hidden="false" customHeight="false" outlineLevel="0" collapsed="false">
      <c r="A108" s="22" t="str">
        <f aca="false">'District Data'!A108</f>
        <v>Swat</v>
      </c>
      <c r="B108" s="22" t="str">
        <f aca="false">'District Data'!C108</f>
        <v>Peshawar Region</v>
      </c>
      <c r="C108" s="22" t="str">
        <f aca="false">'District Data'!D108</f>
        <v>Population High</v>
      </c>
      <c r="D108" s="23" t="n">
        <f aca="false">ROUND('District Data'!E108*'District Data'!F108,0)</f>
        <v>813105</v>
      </c>
      <c r="E108" s="23" t="n">
        <f aca="false">'District Data'!I108</f>
        <v>102</v>
      </c>
      <c r="F108" s="23" t="n">
        <f aca="false">'District Data'!L108</f>
        <v>68365.9</v>
      </c>
      <c r="G108" s="24" t="n">
        <f aca="false">IFERROR(F108/(E108*Weeks),0)</f>
        <v>12.8894984917044</v>
      </c>
      <c r="H108" s="25" t="n">
        <f aca="false">IFERROR('District Data'!N108/('District Data'!M108*Weeks),0)</f>
        <v>10.1136363636364</v>
      </c>
      <c r="I108" s="24" t="n">
        <f aca="false">IFERROR(SUMIFS('District Data'!$N$5:$N$119,'District Data'!$C$5:$C$119,B108)/(SUMIFS('District Data'!$M$5:$M$119,'District Data'!$C$5:$C$119,B108)*Weeks),0)</f>
        <v>7.60397053195561</v>
      </c>
      <c r="J108" s="24" t="n">
        <f aca="false">IF(TPBasis="NI TP",IF(H108&gt;0,H108,I108),G108)</f>
        <v>10.1136363636364</v>
      </c>
      <c r="K108" s="26" t="n">
        <f aca="false">IFERROR(F108/D108,0)</f>
        <v>0.0840800388633694</v>
      </c>
      <c r="L108" s="27" t="n">
        <f aca="false">IFERROR(D108/E108,0)</f>
        <v>7971.61764705882</v>
      </c>
      <c r="M108" s="28" t="n">
        <f aca="false">IFERROR('District Data'!L108/'District Data'!K108-1,0)</f>
        <v>0.0347307147440943</v>
      </c>
      <c r="N108" s="28" t="n">
        <f aca="false">IFERROR(('District Data'!L108/'District Data'!J108)^(1/2)-1,0)</f>
        <v>0.0364414835889011</v>
      </c>
      <c r="O108" s="28" t="n">
        <f aca="false">IFERROR('District Data'!I108/'District Data'!H108-1,0)</f>
        <v>0.0515463917525774</v>
      </c>
      <c r="P108" s="7" t="str">
        <f aca="false">IF(K108&gt;=PCC_L1,"Layer 01",IF(K108&gt;=PCC_L2,"Layer 02",IF(K108&gt;=PCC_L3,"Layer 03",IF(K108&gt;=PCC_L4,"Layer 04","Layer 05"))))</f>
        <v>Layer 05</v>
      </c>
      <c r="Q108" s="7" t="str">
        <f aca="false">IF(L108&gt;=PPO_L1,"Layer 01",IF(L108&gt;=PPO_L2,"Layer 02",IF(L108&gt;=PPO_L3,"Layer 03",IF(L108&gt;=PPO_L4,"Layer 04","Layer 05"))))</f>
        <v>Layer 03</v>
      </c>
      <c r="R108" s="29" t="n">
        <f aca="false">D108/IdealPPO-E108</f>
        <v>982.14</v>
      </c>
      <c r="S108" s="29" t="n">
        <f aca="false">IdealTP*Weeks-(Weeks*J108+FirstFill)</f>
        <v>174.090909090909</v>
      </c>
      <c r="T108" s="29" t="n">
        <f aca="false">IF(S108&gt;0,(F108-IdealTP*Weeks*E108)/S108,1000000000000)</f>
        <v>-64.3003133159269</v>
      </c>
      <c r="U108" s="27" t="n">
        <f aca="false">IF(E108&lt;=0,0,IF(G108&lt;=IdealTP,0,IF(L108&lt;=IdealPPO,0,INT(MIN(T108,R108)+0.000000001))))</f>
        <v>0</v>
      </c>
      <c r="V108" s="7" t="str">
        <f aca="false">IF(E108&lt;=0,"No current outlets",IF(G108&lt;=IdealTP,"TP already at or below ideal",IF(L108&lt;=IdealPPO,"PPO already at or below ideal",IF(T108&lt;=R108,"Stopped by TP reaching ideal","Stopped by PPO reaching ideal"))))</f>
        <v>TP already at or below ideal</v>
      </c>
      <c r="W108" s="30" t="n">
        <f aca="false">F108+U108*(Weeks*J108+FirstFill)</f>
        <v>68365.9</v>
      </c>
      <c r="X108" s="30" t="n">
        <f aca="false">E108+U108</f>
        <v>102</v>
      </c>
      <c r="Y108" s="24" t="n">
        <f aca="false">IFERROR(W108/(X108*Weeks),0)</f>
        <v>12.8894984917044</v>
      </c>
      <c r="Z108" s="30" t="n">
        <f aca="false">IFERROR(D108/X108,0)</f>
        <v>7971.61764705882</v>
      </c>
      <c r="AA108" s="7" t="str">
        <f aca="false">IF(AND(K108&gt;=NationalPCC,L108&gt;IdealPPO),"Q1: High PCC, High PPO",IF(K108&gt;=NationalPCC,"Q2: High PCC, Low PPO",IF(L108&gt;IdealPPO,"Q3: Low PCC, High PPO","Q4: Low PCC, Low PPO")))</f>
        <v>Q3: Low PCC, High PPO</v>
      </c>
      <c r="AB108" s="7" t="str">
        <f aca="false">IF(K108&gt;=NationalPCC,IF(L108&gt;IdealPPO,"Phase 1","Phase 2"),"Phase 3")</f>
        <v>Phase 3</v>
      </c>
      <c r="AC108" s="7" t="str">
        <f aca="false">IF(AND(G108&gt;IdealTP,L108&gt;IdealPPO),"High TP, High PPO",IF(G108&gt;IdealTP,"High TP, Low PPO",IF(L108&gt;IdealPPO,"Low TP, High PPO","Low TP, Low PPO")))</f>
        <v>Low TP, High PPO</v>
      </c>
      <c r="AD108" s="31" t="n">
        <f aca="false">INDEX(WaveNumbers,MATCH(C108,WaveNames,0))</f>
        <v>3</v>
      </c>
      <c r="AE108" s="32" t="str">
        <f aca="false">IF(U108&gt;0,AD108*10000000+VALUE(RIGHT(AB108,1))*1000000+(1000000-U108)+ROW()/1000000,"")</f>
        <v/>
      </c>
      <c r="AF108" s="31" t="str">
        <f aca="false">IF(U108&gt;0,COUNTIFS($AE$5:$AE$119,"&lt;"&amp;AE108)+1,"")</f>
        <v/>
      </c>
      <c r="AG108" s="7" t="str">
        <f aca="false">IF(AF108="","No",IF(AF108&lt;=TopN,"Yes","No"))</f>
        <v>No</v>
      </c>
      <c r="AH108" s="30" t="n">
        <f aca="false">INT('District Data'!O108*ConvRate)</f>
        <v>98</v>
      </c>
      <c r="AI108" s="27" t="n">
        <f aca="false">MIN(U108,AH108)</f>
        <v>0</v>
      </c>
      <c r="AJ108" s="7" t="str">
        <f aca="false">IF(U108=0,"No expansion",IF(AH108&lt;U108,"Supply constrained (not enough shops)","Demand constrained (enough shops)"))</f>
        <v>No expansion</v>
      </c>
      <c r="AK108" s="30" t="n">
        <f aca="false">IF(AG108="Yes",AI108,0)</f>
        <v>0</v>
      </c>
      <c r="AL108" s="26" t="n">
        <f aca="false">IF(AG108="Yes",IF(Budget1&gt;=ShortlistFinal,AK108,AK108/ShortlistFinal*Budget1),0)</f>
        <v>0</v>
      </c>
      <c r="AM108" s="30" t="n">
        <f aca="false">INT(AL108)</f>
        <v>0</v>
      </c>
      <c r="AN108" s="26" t="n">
        <f aca="false">IF(AND(AG108="Yes",Budget1&lt;ShortlistFinal),AL108-AM108,-1)</f>
        <v>-1</v>
      </c>
      <c r="AO108" s="27" t="n">
        <f aca="false">IF(AG108&lt;&gt;"Yes",0,IF(Budget1&gt;=ShortlistFinal,AK108,AM108+IF(COUNTIFS($AN$5:$AN$119,"&gt;"&amp;AN108)+COUNTIFS($AN$5:$AN$119,AN108,$AF$5:$AF$119,"&lt;"&amp;AF108)&lt;Budget1-SUM($AM$5:$AM$119),1,0)))</f>
        <v>0</v>
      </c>
      <c r="AP108" s="26" t="n">
        <f aca="false">IF(AG108="Yes",IF(Budget2&gt;=ShortlistFinal,AK108,AK108/ShortlistFinal*Budget2),0)</f>
        <v>0</v>
      </c>
      <c r="AQ108" s="30" t="n">
        <f aca="false">INT(AP108)</f>
        <v>0</v>
      </c>
      <c r="AR108" s="26" t="n">
        <f aca="false">IF(AND(AG108="Yes",Budget2&lt;ShortlistFinal),AP108-AQ108,-1)</f>
        <v>-1</v>
      </c>
      <c r="AS108" s="27" t="n">
        <f aca="false">IF(AG108&lt;&gt;"Yes",0,IF(Budget2&gt;=ShortlistFinal,AK108,AQ108+IF(COUNTIFS($AR$5:$AR$119,"&gt;"&amp;AR108)+COUNTIFS($AR$5:$AR$119,AR108,$AF$5:$AF$119,"&lt;"&amp;AF108)&lt;Budget2-SUM($AQ$5:$AQ$119),1,0)))</f>
        <v>0</v>
      </c>
      <c r="AT108" s="26" t="n">
        <f aca="false">AK108*Share2025</f>
        <v>0</v>
      </c>
      <c r="AU108" s="26" t="n">
        <f aca="false">AK108*Share2026</f>
        <v>0</v>
      </c>
      <c r="AV108" s="26" t="n">
        <f aca="false">AK108*Share2027</f>
        <v>0</v>
      </c>
      <c r="AW108" s="31" t="n">
        <f aca="false">INT(AT108)</f>
        <v>0</v>
      </c>
      <c r="AX108" s="31" t="n">
        <f aca="false">INT(AU108)</f>
        <v>0</v>
      </c>
      <c r="AY108" s="31" t="n">
        <f aca="false">INT(AV108)</f>
        <v>0</v>
      </c>
      <c r="AZ108" s="26" t="n">
        <f aca="false">AT108-AW108</f>
        <v>0</v>
      </c>
      <c r="BA108" s="26" t="n">
        <f aca="false">AU108-AX108</f>
        <v>0</v>
      </c>
      <c r="BB108" s="26" t="n">
        <f aca="false">AV108-AY108</f>
        <v>0</v>
      </c>
      <c r="BC108" s="31" t="n">
        <f aca="false">AK108-AW108-AX108-AY108</f>
        <v>0</v>
      </c>
      <c r="BD108" s="27" t="n">
        <f aca="false">AW108+IF((BA108&gt;AZ108)+(BB108&gt;AZ108)&lt;BC108,1,0)</f>
        <v>0</v>
      </c>
      <c r="BE108" s="27" t="n">
        <f aca="false">AX108+IF((AZ108&gt;BA108)+(BB108&gt;BA108)+(AZ108=BA108)&lt;BC108,1,0)</f>
        <v>0</v>
      </c>
      <c r="BF108" s="27" t="n">
        <f aca="false">AY108+IF((AZ108&gt;BB108)+(BA108&gt;BB108)+(AZ108=BB108)+(BA108=BB108)&lt;BC108,1,0)</f>
        <v>0</v>
      </c>
    </row>
    <row r="109" customFormat="false" ht="15" hidden="false" customHeight="false" outlineLevel="0" collapsed="false">
      <c r="A109" s="22" t="str">
        <f aca="false">'District Data'!A109</f>
        <v>Tando Allahyar</v>
      </c>
      <c r="B109" s="22" t="str">
        <f aca="false">'District Data'!C109</f>
        <v>Karachi Region</v>
      </c>
      <c r="C109" s="22" t="str">
        <f aca="false">'District Data'!D109</f>
        <v>Stronghold</v>
      </c>
      <c r="D109" s="23" t="n">
        <f aca="false">ROUND('District Data'!E109*'District Data'!F109,0)</f>
        <v>269772</v>
      </c>
      <c r="E109" s="23" t="n">
        <f aca="false">'District Data'!I109</f>
        <v>107</v>
      </c>
      <c r="F109" s="23" t="n">
        <f aca="false">'District Data'!L109</f>
        <v>110456.7</v>
      </c>
      <c r="G109" s="24" t="n">
        <f aca="false">IFERROR(F109/(E109*Weeks),0)</f>
        <v>19.8520309130122</v>
      </c>
      <c r="H109" s="25" t="n">
        <f aca="false">IFERROR('District Data'!N109/('District Data'!M109*Weeks),0)</f>
        <v>9.49370629370629</v>
      </c>
      <c r="I109" s="24" t="n">
        <f aca="false">IFERROR(SUMIFS('District Data'!$N$5:$N$119,'District Data'!$C$5:$C$119,B109)/(SUMIFS('District Data'!$M$5:$M$119,'District Data'!$C$5:$C$119,B109)*Weeks),0)</f>
        <v>12.952446872194</v>
      </c>
      <c r="J109" s="24" t="n">
        <f aca="false">IF(TPBasis="NI TP",IF(H109&gt;0,H109,I109),G109)</f>
        <v>9.49370629370629</v>
      </c>
      <c r="K109" s="26" t="n">
        <f aca="false">IFERROR(F109/D109,0)</f>
        <v>0.409444642142253</v>
      </c>
      <c r="L109" s="27" t="n">
        <f aca="false">IFERROR(D109/E109,0)</f>
        <v>2521.23364485981</v>
      </c>
      <c r="M109" s="28" t="n">
        <f aca="false">IFERROR('District Data'!L109/'District Data'!K109-1,0)</f>
        <v>0.0288210770251038</v>
      </c>
      <c r="N109" s="28" t="n">
        <f aca="false">IFERROR(('District Data'!L109/'District Data'!J109)^(1/2)-1,0)</f>
        <v>0.0104908361693454</v>
      </c>
      <c r="O109" s="28" t="n">
        <f aca="false">IFERROR('District Data'!I109/'District Data'!H109-1,0)</f>
        <v>0.0808080808080809</v>
      </c>
      <c r="P109" s="7" t="str">
        <f aca="false">IF(K109&gt;=PCC_L1,"Layer 01",IF(K109&gt;=PCC_L2,"Layer 02",IF(K109&gt;=PCC_L3,"Layer 03",IF(K109&gt;=PCC_L4,"Layer 04","Layer 05"))))</f>
        <v>Layer 04</v>
      </c>
      <c r="Q109" s="7" t="str">
        <f aca="false">IF(L109&gt;=PPO_L1,"Layer 01",IF(L109&gt;=PPO_L2,"Layer 02",IF(L109&gt;=PPO_L3,"Layer 03",IF(L109&gt;=PPO_L4,"Layer 04","Layer 05"))))</f>
        <v>Layer 04</v>
      </c>
      <c r="R109" s="29" t="n">
        <f aca="false">D109/IdealPPO-E109</f>
        <v>252.696</v>
      </c>
      <c r="S109" s="29" t="n">
        <f aca="false">IdealTP*Weeks-(Weeks*J109+FirstFill)</f>
        <v>206.327272727273</v>
      </c>
      <c r="T109" s="29" t="n">
        <f aca="false">IF(S109&gt;0,(F109-IdealTP*Weeks*E109)/S109,1000000000000)</f>
        <v>130.844069439549</v>
      </c>
      <c r="U109" s="27" t="n">
        <f aca="false">IF(E109&lt;=0,0,IF(G109&lt;=IdealTP,0,IF(L109&lt;=IdealPPO,0,INT(MIN(T109,R109)+0.000000001))))</f>
        <v>130</v>
      </c>
      <c r="V109" s="7" t="str">
        <f aca="false">IF(E109&lt;=0,"No current outlets",IF(G109&lt;=IdealTP,"TP already at or below ideal",IF(L109&lt;=IdealPPO,"PPO already at or below ideal",IF(T109&lt;=R109,"Stopped by TP reaching ideal","Stopped by PPO reaching ideal"))))</f>
        <v>Stopped by TP reaching ideal</v>
      </c>
      <c r="W109" s="30" t="n">
        <f aca="false">F109+U109*(Weeks*J109+FirstFill)</f>
        <v>185034.154545455</v>
      </c>
      <c r="X109" s="30" t="n">
        <f aca="false">E109+U109</f>
        <v>237</v>
      </c>
      <c r="Y109" s="24" t="n">
        <f aca="false">IFERROR(W109/(X109*Weeks),0)</f>
        <v>15.0141313328022</v>
      </c>
      <c r="Z109" s="30" t="n">
        <f aca="false">IFERROR(D109/X109,0)</f>
        <v>1138.27848101266</v>
      </c>
      <c r="AA109" s="7" t="str">
        <f aca="false">IF(AND(K109&gt;=NationalPCC,L109&gt;IdealPPO),"Q1: High PCC, High PPO",IF(K109&gt;=NationalPCC,"Q2: High PCC, Low PPO",IF(L109&gt;IdealPPO,"Q3: Low PCC, High PPO","Q4: Low PCC, Low PPO")))</f>
        <v>Q3: Low PCC, High PPO</v>
      </c>
      <c r="AB109" s="7" t="str">
        <f aca="false">IF(K109&gt;=NationalPCC,IF(L109&gt;IdealPPO,"Phase 1","Phase 2"),"Phase 3")</f>
        <v>Phase 3</v>
      </c>
      <c r="AC109" s="7" t="str">
        <f aca="false">IF(AND(G109&gt;IdealTP,L109&gt;IdealPPO),"High TP, High PPO",IF(G109&gt;IdealTP,"High TP, Low PPO",IF(L109&gt;IdealPPO,"Low TP, High PPO","Low TP, Low PPO")))</f>
        <v>High TP, High PPO</v>
      </c>
      <c r="AD109" s="31" t="n">
        <f aca="false">INDEX(WaveNumbers,MATCH(C109,WaveNames,0))</f>
        <v>1</v>
      </c>
      <c r="AE109" s="32" t="n">
        <f aca="false">IF(U109&gt;0,AD109*10000000+VALUE(RIGHT(AB109,1))*1000000+(1000000-U109)+ROW()/1000000,"")</f>
        <v>13999870.000109</v>
      </c>
      <c r="AF109" s="31" t="n">
        <f aca="false">IF(U109&gt;0,COUNTIFS($AE$5:$AE$119,"&lt;"&amp;AE109)+1,"")</f>
        <v>15</v>
      </c>
      <c r="AG109" s="7" t="str">
        <f aca="false">IF(AF109="","No",IF(AF109&lt;=TopN,"Yes","No"))</f>
        <v>Yes</v>
      </c>
      <c r="AH109" s="30" t="n">
        <f aca="false">INT('District Data'!O109*ConvRate)</f>
        <v>11</v>
      </c>
      <c r="AI109" s="27" t="n">
        <f aca="false">MIN(U109,AH109)</f>
        <v>11</v>
      </c>
      <c r="AJ109" s="7" t="str">
        <f aca="false">IF(U109=0,"No expansion",IF(AH109&lt;U109,"Supply constrained (not enough shops)","Demand constrained (enough shops)"))</f>
        <v>Supply constrained (not enough shops)</v>
      </c>
      <c r="AK109" s="30" t="n">
        <f aca="false">IF(AG109="Yes",AI109,0)</f>
        <v>11</v>
      </c>
      <c r="AL109" s="26" t="n">
        <f aca="false">IF(AG109="Yes",IF(Budget1&gt;=ShortlistFinal,AK109,AK109/ShortlistFinal*Budget1),0)</f>
        <v>6.50406504065041</v>
      </c>
      <c r="AM109" s="30" t="n">
        <f aca="false">INT(AL109)</f>
        <v>6</v>
      </c>
      <c r="AN109" s="26" t="n">
        <f aca="false">IF(AND(AG109="Yes",Budget1&lt;ShortlistFinal),AL109-AM109,-1)</f>
        <v>0.504065040650406</v>
      </c>
      <c r="AO109" s="27" t="n">
        <f aca="false">IF(AG109&lt;&gt;"Yes",0,IF(Budget1&gt;=ShortlistFinal,AK109,AM109+IF(COUNTIFS($AN$5:$AN$119,"&gt;"&amp;AN109)+COUNTIFS($AN$5:$AN$119,AN109,$AF$5:$AF$119,"&lt;"&amp;AF109)&lt;Budget1-SUM($AM$5:$AM$119),1,0)))</f>
        <v>6</v>
      </c>
      <c r="AP109" s="26" t="n">
        <f aca="false">IF(AG109="Yes",IF(Budget2&gt;=ShortlistFinal,AK109,AK109/ShortlistFinal*Budget2),0)</f>
        <v>9.75609756097561</v>
      </c>
      <c r="AQ109" s="30" t="n">
        <f aca="false">INT(AP109)</f>
        <v>9</v>
      </c>
      <c r="AR109" s="26" t="n">
        <f aca="false">IF(AND(AG109="Yes",Budget2&lt;ShortlistFinal),AP109-AQ109,-1)</f>
        <v>0.75609756097561</v>
      </c>
      <c r="AS109" s="27" t="n">
        <f aca="false">IF(AG109&lt;&gt;"Yes",0,IF(Budget2&gt;=ShortlistFinal,AK109,AQ109+IF(COUNTIFS($AR$5:$AR$119,"&gt;"&amp;AR109)+COUNTIFS($AR$5:$AR$119,AR109,$AF$5:$AF$119,"&lt;"&amp;AF109)&lt;Budget2-SUM($AQ$5:$AQ$119),1,0)))</f>
        <v>10</v>
      </c>
      <c r="AT109" s="26" t="n">
        <f aca="false">AK109*Share2025</f>
        <v>3.88235294117647</v>
      </c>
      <c r="AU109" s="26" t="n">
        <f aca="false">AK109*Share2026</f>
        <v>3.88235294117647</v>
      </c>
      <c r="AV109" s="26" t="n">
        <f aca="false">AK109*Share2027</f>
        <v>3.23529411764706</v>
      </c>
      <c r="AW109" s="31" t="n">
        <f aca="false">INT(AT109)</f>
        <v>3</v>
      </c>
      <c r="AX109" s="31" t="n">
        <f aca="false">INT(AU109)</f>
        <v>3</v>
      </c>
      <c r="AY109" s="31" t="n">
        <f aca="false">INT(AV109)</f>
        <v>3</v>
      </c>
      <c r="AZ109" s="26" t="n">
        <f aca="false">AT109-AW109</f>
        <v>0.882352941176472</v>
      </c>
      <c r="BA109" s="26" t="n">
        <f aca="false">AU109-AX109</f>
        <v>0.882352941176472</v>
      </c>
      <c r="BB109" s="26" t="n">
        <f aca="false">AV109-AY109</f>
        <v>0.235294117647058</v>
      </c>
      <c r="BC109" s="31" t="n">
        <f aca="false">AK109-AW109-AX109-AY109</f>
        <v>2</v>
      </c>
      <c r="BD109" s="27" t="n">
        <f aca="false">AW109+IF((BA109&gt;AZ109)+(BB109&gt;AZ109)&lt;BC109,1,0)</f>
        <v>4</v>
      </c>
      <c r="BE109" s="27" t="n">
        <f aca="false">AX109+IF((AZ109&gt;BA109)+(BB109&gt;BA109)+(AZ109=BA109)&lt;BC109,1,0)</f>
        <v>4</v>
      </c>
      <c r="BF109" s="27" t="n">
        <f aca="false">AY109+IF((AZ109&gt;BB109)+(BA109&gt;BB109)+(AZ109=BB109)+(BA109=BB109)&lt;BC109,1,0)</f>
        <v>3</v>
      </c>
    </row>
    <row r="110" customFormat="false" ht="15" hidden="false" customHeight="false" outlineLevel="0" collapsed="false">
      <c r="A110" s="22" t="str">
        <f aca="false">'District Data'!A110</f>
        <v>Tando Muhammad Khan</v>
      </c>
      <c r="B110" s="22" t="str">
        <f aca="false">'District Data'!C110</f>
        <v>Karachi Region</v>
      </c>
      <c r="C110" s="22" t="str">
        <f aca="false">'District Data'!D110</f>
        <v>Neighbouring</v>
      </c>
      <c r="D110" s="23" t="n">
        <f aca="false">ROUND('District Data'!E110*'District Data'!F110,0)</f>
        <v>250480</v>
      </c>
      <c r="E110" s="23" t="n">
        <f aca="false">'District Data'!I110</f>
        <v>87</v>
      </c>
      <c r="F110" s="23" t="n">
        <f aca="false">'District Data'!L110</f>
        <v>61231.9</v>
      </c>
      <c r="G110" s="24" t="n">
        <f aca="false">IFERROR(F110/(E110*Weeks),0)</f>
        <v>13.5349027409372</v>
      </c>
      <c r="H110" s="25" t="n">
        <f aca="false">IFERROR('District Data'!N110/('District Data'!M110*Weeks),0)</f>
        <v>9.39647435897436</v>
      </c>
      <c r="I110" s="24" t="n">
        <f aca="false">IFERROR(SUMIFS('District Data'!$N$5:$N$119,'District Data'!$C$5:$C$119,B110)/(SUMIFS('District Data'!$M$5:$M$119,'District Data'!$C$5:$C$119,B110)*Weeks),0)</f>
        <v>12.952446872194</v>
      </c>
      <c r="J110" s="24" t="n">
        <f aca="false">IF(TPBasis="NI TP",IF(H110&gt;0,H110,I110),G110)</f>
        <v>9.39647435897436</v>
      </c>
      <c r="K110" s="26" t="n">
        <f aca="false">IFERROR(F110/D110,0)</f>
        <v>0.244458240178857</v>
      </c>
      <c r="L110" s="27" t="n">
        <f aca="false">IFERROR(D110/E110,0)</f>
        <v>2879.08045977012</v>
      </c>
      <c r="M110" s="28" t="n">
        <f aca="false">IFERROR('District Data'!L110/'District Data'!K110-1,0)</f>
        <v>0.0759483884118175</v>
      </c>
      <c r="N110" s="28" t="n">
        <f aca="false">IFERROR(('District Data'!L110/'District Data'!J110)^(1/2)-1,0)</f>
        <v>0.123334839027597</v>
      </c>
      <c r="O110" s="28" t="n">
        <f aca="false">IFERROR('District Data'!I110/'District Data'!H110-1,0)</f>
        <v>0.0874999999999999</v>
      </c>
      <c r="P110" s="7" t="str">
        <f aca="false">IF(K110&gt;=PCC_L1,"Layer 01",IF(K110&gt;=PCC_L2,"Layer 02",IF(K110&gt;=PCC_L3,"Layer 03",IF(K110&gt;=PCC_L4,"Layer 04","Layer 05"))))</f>
        <v>Layer 04</v>
      </c>
      <c r="Q110" s="7" t="str">
        <f aca="false">IF(L110&gt;=PPO_L1,"Layer 01",IF(L110&gt;=PPO_L2,"Layer 02",IF(L110&gt;=PPO_L3,"Layer 03",IF(L110&gt;=PPO_L4,"Layer 04","Layer 05"))))</f>
        <v>Layer 04</v>
      </c>
      <c r="R110" s="29" t="n">
        <f aca="false">D110/IdealPPO-E110</f>
        <v>246.973333333333</v>
      </c>
      <c r="S110" s="29" t="n">
        <f aca="false">IdealTP*Weeks-(Weeks*J110+FirstFill)</f>
        <v>211.383333333333</v>
      </c>
      <c r="T110" s="29" t="n">
        <f aca="false">IF(S110&gt;0,(F110-IdealTP*Weeks*E110)/S110,1000000000000)</f>
        <v>-31.3558306394386</v>
      </c>
      <c r="U110" s="27" t="n">
        <f aca="false">IF(E110&lt;=0,0,IF(G110&lt;=IdealTP,0,IF(L110&lt;=IdealPPO,0,INT(MIN(T110,R110)+0.000000001))))</f>
        <v>0</v>
      </c>
      <c r="V110" s="7" t="str">
        <f aca="false">IF(E110&lt;=0,"No current outlets",IF(G110&lt;=IdealTP,"TP already at or below ideal",IF(L110&lt;=IdealPPO,"PPO already at or below ideal",IF(T110&lt;=R110,"Stopped by TP reaching ideal","Stopped by PPO reaching ideal"))))</f>
        <v>TP already at or below ideal</v>
      </c>
      <c r="W110" s="30" t="n">
        <f aca="false">F110+U110*(Weeks*J110+FirstFill)</f>
        <v>61231.9</v>
      </c>
      <c r="X110" s="30" t="n">
        <f aca="false">E110+U110</f>
        <v>87</v>
      </c>
      <c r="Y110" s="24" t="n">
        <f aca="false">IFERROR(W110/(X110*Weeks),0)</f>
        <v>13.5349027409372</v>
      </c>
      <c r="Z110" s="30" t="n">
        <f aca="false">IFERROR(D110/X110,0)</f>
        <v>2879.08045977012</v>
      </c>
      <c r="AA110" s="7" t="str">
        <f aca="false">IF(AND(K110&gt;=NationalPCC,L110&gt;IdealPPO),"Q1: High PCC, High PPO",IF(K110&gt;=NationalPCC,"Q2: High PCC, Low PPO",IF(L110&gt;IdealPPO,"Q3: Low PCC, High PPO","Q4: Low PCC, Low PPO")))</f>
        <v>Q3: Low PCC, High PPO</v>
      </c>
      <c r="AB110" s="7" t="str">
        <f aca="false">IF(K110&gt;=NationalPCC,IF(L110&gt;IdealPPO,"Phase 1","Phase 2"),"Phase 3")</f>
        <v>Phase 3</v>
      </c>
      <c r="AC110" s="7" t="str">
        <f aca="false">IF(AND(G110&gt;IdealTP,L110&gt;IdealPPO),"High TP, High PPO",IF(G110&gt;IdealTP,"High TP, Low PPO",IF(L110&gt;IdealPPO,"Low TP, High PPO","Low TP, Low PPO")))</f>
        <v>Low TP, High PPO</v>
      </c>
      <c r="AD110" s="31" t="n">
        <f aca="false">INDEX(WaveNumbers,MATCH(C110,WaveNames,0))</f>
        <v>2</v>
      </c>
      <c r="AE110" s="32" t="str">
        <f aca="false">IF(U110&gt;0,AD110*10000000+VALUE(RIGHT(AB110,1))*1000000+(1000000-U110)+ROW()/1000000,"")</f>
        <v/>
      </c>
      <c r="AF110" s="31" t="str">
        <f aca="false">IF(U110&gt;0,COUNTIFS($AE$5:$AE$119,"&lt;"&amp;AE110)+1,"")</f>
        <v/>
      </c>
      <c r="AG110" s="7" t="str">
        <f aca="false">IF(AF110="","No",IF(AF110&lt;=TopN,"Yes","No"))</f>
        <v>No</v>
      </c>
      <c r="AH110" s="30" t="n">
        <f aca="false">INT('District Data'!O110*ConvRate)</f>
        <v>18</v>
      </c>
      <c r="AI110" s="27" t="n">
        <f aca="false">MIN(U110,AH110)</f>
        <v>0</v>
      </c>
      <c r="AJ110" s="7" t="str">
        <f aca="false">IF(U110=0,"No expansion",IF(AH110&lt;U110,"Supply constrained (not enough shops)","Demand constrained (enough shops)"))</f>
        <v>No expansion</v>
      </c>
      <c r="AK110" s="30" t="n">
        <f aca="false">IF(AG110="Yes",AI110,0)</f>
        <v>0</v>
      </c>
      <c r="AL110" s="26" t="n">
        <f aca="false">IF(AG110="Yes",IF(Budget1&gt;=ShortlistFinal,AK110,AK110/ShortlistFinal*Budget1),0)</f>
        <v>0</v>
      </c>
      <c r="AM110" s="30" t="n">
        <f aca="false">INT(AL110)</f>
        <v>0</v>
      </c>
      <c r="AN110" s="26" t="n">
        <f aca="false">IF(AND(AG110="Yes",Budget1&lt;ShortlistFinal),AL110-AM110,-1)</f>
        <v>-1</v>
      </c>
      <c r="AO110" s="27" t="n">
        <f aca="false">IF(AG110&lt;&gt;"Yes",0,IF(Budget1&gt;=ShortlistFinal,AK110,AM110+IF(COUNTIFS($AN$5:$AN$119,"&gt;"&amp;AN110)+COUNTIFS($AN$5:$AN$119,AN110,$AF$5:$AF$119,"&lt;"&amp;AF110)&lt;Budget1-SUM($AM$5:$AM$119),1,0)))</f>
        <v>0</v>
      </c>
      <c r="AP110" s="26" t="n">
        <f aca="false">IF(AG110="Yes",IF(Budget2&gt;=ShortlistFinal,AK110,AK110/ShortlistFinal*Budget2),0)</f>
        <v>0</v>
      </c>
      <c r="AQ110" s="30" t="n">
        <f aca="false">INT(AP110)</f>
        <v>0</v>
      </c>
      <c r="AR110" s="26" t="n">
        <f aca="false">IF(AND(AG110="Yes",Budget2&lt;ShortlistFinal),AP110-AQ110,-1)</f>
        <v>-1</v>
      </c>
      <c r="AS110" s="27" t="n">
        <f aca="false">IF(AG110&lt;&gt;"Yes",0,IF(Budget2&gt;=ShortlistFinal,AK110,AQ110+IF(COUNTIFS($AR$5:$AR$119,"&gt;"&amp;AR110)+COUNTIFS($AR$5:$AR$119,AR110,$AF$5:$AF$119,"&lt;"&amp;AF110)&lt;Budget2-SUM($AQ$5:$AQ$119),1,0)))</f>
        <v>0</v>
      </c>
      <c r="AT110" s="26" t="n">
        <f aca="false">AK110*Share2025</f>
        <v>0</v>
      </c>
      <c r="AU110" s="26" t="n">
        <f aca="false">AK110*Share2026</f>
        <v>0</v>
      </c>
      <c r="AV110" s="26" t="n">
        <f aca="false">AK110*Share2027</f>
        <v>0</v>
      </c>
      <c r="AW110" s="31" t="n">
        <f aca="false">INT(AT110)</f>
        <v>0</v>
      </c>
      <c r="AX110" s="31" t="n">
        <f aca="false">INT(AU110)</f>
        <v>0</v>
      </c>
      <c r="AY110" s="31" t="n">
        <f aca="false">INT(AV110)</f>
        <v>0</v>
      </c>
      <c r="AZ110" s="26" t="n">
        <f aca="false">AT110-AW110</f>
        <v>0</v>
      </c>
      <c r="BA110" s="26" t="n">
        <f aca="false">AU110-AX110</f>
        <v>0</v>
      </c>
      <c r="BB110" s="26" t="n">
        <f aca="false">AV110-AY110</f>
        <v>0</v>
      </c>
      <c r="BC110" s="31" t="n">
        <f aca="false">AK110-AW110-AX110-AY110</f>
        <v>0</v>
      </c>
      <c r="BD110" s="27" t="n">
        <f aca="false">AW110+IF((BA110&gt;AZ110)+(BB110&gt;AZ110)&lt;BC110,1,0)</f>
        <v>0</v>
      </c>
      <c r="BE110" s="27" t="n">
        <f aca="false">AX110+IF((AZ110&gt;BA110)+(BB110&gt;BA110)+(AZ110=BA110)&lt;BC110,1,0)</f>
        <v>0</v>
      </c>
      <c r="BF110" s="27" t="n">
        <f aca="false">AY110+IF((AZ110&gt;BB110)+(BA110&gt;BB110)+(AZ110=BB110)+(BA110=BB110)&lt;BC110,1,0)</f>
        <v>0</v>
      </c>
    </row>
    <row r="111" customFormat="false" ht="15" hidden="false" customHeight="false" outlineLevel="0" collapsed="false">
      <c r="A111" s="22" t="str">
        <f aca="false">'District Data'!A111</f>
        <v>Tank</v>
      </c>
      <c r="B111" s="22" t="str">
        <f aca="false">'District Data'!C111</f>
        <v>Peshawar Region</v>
      </c>
      <c r="C111" s="22" t="str">
        <f aca="false">'District Data'!D111</f>
        <v>Rest</v>
      </c>
      <c r="D111" s="23" t="n">
        <f aca="false">ROUND('District Data'!E111*'District Data'!F111,0)</f>
        <v>94149</v>
      </c>
      <c r="E111" s="23" t="n">
        <f aca="false">'District Data'!I111</f>
        <v>7</v>
      </c>
      <c r="F111" s="23" t="n">
        <f aca="false">'District Data'!L111</f>
        <v>3935</v>
      </c>
      <c r="G111" s="24" t="n">
        <f aca="false">IFERROR(F111/(E111*Weeks),0)</f>
        <v>10.8104395604396</v>
      </c>
      <c r="H111" s="25" t="n">
        <f aca="false">IFERROR('District Data'!N111/('District Data'!M111*Weeks),0)</f>
        <v>8.17307692307692</v>
      </c>
      <c r="I111" s="24" t="n">
        <f aca="false">IFERROR(SUMIFS('District Data'!$N$5:$N$119,'District Data'!$C$5:$C$119,B111)/(SUMIFS('District Data'!$M$5:$M$119,'District Data'!$C$5:$C$119,B111)*Weeks),0)</f>
        <v>7.60397053195561</v>
      </c>
      <c r="J111" s="24" t="n">
        <f aca="false">IF(TPBasis="NI TP",IF(H111&gt;0,H111,I111),G111)</f>
        <v>8.17307692307692</v>
      </c>
      <c r="K111" s="26" t="n">
        <f aca="false">IFERROR(F111/D111,0)</f>
        <v>0.0417954518900891</v>
      </c>
      <c r="L111" s="27" t="n">
        <f aca="false">IFERROR(D111/E111,0)</f>
        <v>13449.8571428571</v>
      </c>
      <c r="M111" s="28" t="n">
        <f aca="false">IFERROR('District Data'!L111/'District Data'!K111-1,0)</f>
        <v>0.0497252307528144</v>
      </c>
      <c r="N111" s="28" t="n">
        <f aca="false">IFERROR(('District Data'!L111/'District Data'!J111)^(1/2)-1,0)</f>
        <v>0.0259440470328303</v>
      </c>
      <c r="O111" s="28" t="n">
        <f aca="false">IFERROR('District Data'!I111/'District Data'!H111-1,0)</f>
        <v>0.166666666666667</v>
      </c>
      <c r="P111" s="7" t="str">
        <f aca="false">IF(K111&gt;=PCC_L1,"Layer 01",IF(K111&gt;=PCC_L2,"Layer 02",IF(K111&gt;=PCC_L3,"Layer 03",IF(K111&gt;=PCC_L4,"Layer 04","Layer 05"))))</f>
        <v>Layer 05</v>
      </c>
      <c r="Q111" s="7" t="str">
        <f aca="false">IF(L111&gt;=PPO_L1,"Layer 01",IF(L111&gt;=PPO_L2,"Layer 02",IF(L111&gt;=PPO_L3,"Layer 03",IF(L111&gt;=PPO_L4,"Layer 04","Layer 05"))))</f>
        <v>Layer 03</v>
      </c>
      <c r="R111" s="29" t="n">
        <f aca="false">D111/IdealPPO-E111</f>
        <v>118.532</v>
      </c>
      <c r="S111" s="29" t="n">
        <f aca="false">IdealTP*Weeks-(Weeks*J111+FirstFill)</f>
        <v>275</v>
      </c>
      <c r="T111" s="29" t="n">
        <f aca="false">IF(S111&gt;0,(F111-IdealTP*Weeks*E111)/S111,1000000000000)</f>
        <v>-5.54545454545455</v>
      </c>
      <c r="U111" s="27" t="n">
        <f aca="false">IF(E111&lt;=0,0,IF(G111&lt;=IdealTP,0,IF(L111&lt;=IdealPPO,0,INT(MIN(T111,R111)+0.000000001))))</f>
        <v>0</v>
      </c>
      <c r="V111" s="7" t="str">
        <f aca="false">IF(E111&lt;=0,"No current outlets",IF(G111&lt;=IdealTP,"TP already at or below ideal",IF(L111&lt;=IdealPPO,"PPO already at or below ideal",IF(T111&lt;=R111,"Stopped by TP reaching ideal","Stopped by PPO reaching ideal"))))</f>
        <v>TP already at or below ideal</v>
      </c>
      <c r="W111" s="30" t="n">
        <f aca="false">F111+U111*(Weeks*J111+FirstFill)</f>
        <v>3935</v>
      </c>
      <c r="X111" s="30" t="n">
        <f aca="false">E111+U111</f>
        <v>7</v>
      </c>
      <c r="Y111" s="24" t="n">
        <f aca="false">IFERROR(W111/(X111*Weeks),0)</f>
        <v>10.8104395604396</v>
      </c>
      <c r="Z111" s="30" t="n">
        <f aca="false">IFERROR(D111/X111,0)</f>
        <v>13449.8571428571</v>
      </c>
      <c r="AA111" s="7" t="str">
        <f aca="false">IF(AND(K111&gt;=NationalPCC,L111&gt;IdealPPO),"Q1: High PCC, High PPO",IF(K111&gt;=NationalPCC,"Q2: High PCC, Low PPO",IF(L111&gt;IdealPPO,"Q3: Low PCC, High PPO","Q4: Low PCC, Low PPO")))</f>
        <v>Q3: Low PCC, High PPO</v>
      </c>
      <c r="AB111" s="7" t="str">
        <f aca="false">IF(K111&gt;=NationalPCC,IF(L111&gt;IdealPPO,"Phase 1","Phase 2"),"Phase 3")</f>
        <v>Phase 3</v>
      </c>
      <c r="AC111" s="7" t="str">
        <f aca="false">IF(AND(G111&gt;IdealTP,L111&gt;IdealPPO),"High TP, High PPO",IF(G111&gt;IdealTP,"High TP, Low PPO",IF(L111&gt;IdealPPO,"Low TP, High PPO","Low TP, Low PPO")))</f>
        <v>Low TP, High PPO</v>
      </c>
      <c r="AD111" s="31" t="n">
        <f aca="false">INDEX(WaveNumbers,MATCH(C111,WaveNames,0))</f>
        <v>4</v>
      </c>
      <c r="AE111" s="32" t="str">
        <f aca="false">IF(U111&gt;0,AD111*10000000+VALUE(RIGHT(AB111,1))*1000000+(1000000-U111)+ROW()/1000000,"")</f>
        <v/>
      </c>
      <c r="AF111" s="31" t="str">
        <f aca="false">IF(U111&gt;0,COUNTIFS($AE$5:$AE$119,"&lt;"&amp;AE111)+1,"")</f>
        <v/>
      </c>
      <c r="AG111" s="7" t="str">
        <f aca="false">IF(AF111="","No",IF(AF111&lt;=TopN,"Yes","No"))</f>
        <v>No</v>
      </c>
      <c r="AH111" s="30" t="n">
        <f aca="false">INT('District Data'!O111*ConvRate)</f>
        <v>16</v>
      </c>
      <c r="AI111" s="27" t="n">
        <f aca="false">MIN(U111,AH111)</f>
        <v>0</v>
      </c>
      <c r="AJ111" s="7" t="str">
        <f aca="false">IF(U111=0,"No expansion",IF(AH111&lt;U111,"Supply constrained (not enough shops)","Demand constrained (enough shops)"))</f>
        <v>No expansion</v>
      </c>
      <c r="AK111" s="30" t="n">
        <f aca="false">IF(AG111="Yes",AI111,0)</f>
        <v>0</v>
      </c>
      <c r="AL111" s="26" t="n">
        <f aca="false">IF(AG111="Yes",IF(Budget1&gt;=ShortlistFinal,AK111,AK111/ShortlistFinal*Budget1),0)</f>
        <v>0</v>
      </c>
      <c r="AM111" s="30" t="n">
        <f aca="false">INT(AL111)</f>
        <v>0</v>
      </c>
      <c r="AN111" s="26" t="n">
        <f aca="false">IF(AND(AG111="Yes",Budget1&lt;ShortlistFinal),AL111-AM111,-1)</f>
        <v>-1</v>
      </c>
      <c r="AO111" s="27" t="n">
        <f aca="false">IF(AG111&lt;&gt;"Yes",0,IF(Budget1&gt;=ShortlistFinal,AK111,AM111+IF(COUNTIFS($AN$5:$AN$119,"&gt;"&amp;AN111)+COUNTIFS($AN$5:$AN$119,AN111,$AF$5:$AF$119,"&lt;"&amp;AF111)&lt;Budget1-SUM($AM$5:$AM$119),1,0)))</f>
        <v>0</v>
      </c>
      <c r="AP111" s="26" t="n">
        <f aca="false">IF(AG111="Yes",IF(Budget2&gt;=ShortlistFinal,AK111,AK111/ShortlistFinal*Budget2),0)</f>
        <v>0</v>
      </c>
      <c r="AQ111" s="30" t="n">
        <f aca="false">INT(AP111)</f>
        <v>0</v>
      </c>
      <c r="AR111" s="26" t="n">
        <f aca="false">IF(AND(AG111="Yes",Budget2&lt;ShortlistFinal),AP111-AQ111,-1)</f>
        <v>-1</v>
      </c>
      <c r="AS111" s="27" t="n">
        <f aca="false">IF(AG111&lt;&gt;"Yes",0,IF(Budget2&gt;=ShortlistFinal,AK111,AQ111+IF(COUNTIFS($AR$5:$AR$119,"&gt;"&amp;AR111)+COUNTIFS($AR$5:$AR$119,AR111,$AF$5:$AF$119,"&lt;"&amp;AF111)&lt;Budget2-SUM($AQ$5:$AQ$119),1,0)))</f>
        <v>0</v>
      </c>
      <c r="AT111" s="26" t="n">
        <f aca="false">AK111*Share2025</f>
        <v>0</v>
      </c>
      <c r="AU111" s="26" t="n">
        <f aca="false">AK111*Share2026</f>
        <v>0</v>
      </c>
      <c r="AV111" s="26" t="n">
        <f aca="false">AK111*Share2027</f>
        <v>0</v>
      </c>
      <c r="AW111" s="31" t="n">
        <f aca="false">INT(AT111)</f>
        <v>0</v>
      </c>
      <c r="AX111" s="31" t="n">
        <f aca="false">INT(AU111)</f>
        <v>0</v>
      </c>
      <c r="AY111" s="31" t="n">
        <f aca="false">INT(AV111)</f>
        <v>0</v>
      </c>
      <c r="AZ111" s="26" t="n">
        <f aca="false">AT111-AW111</f>
        <v>0</v>
      </c>
      <c r="BA111" s="26" t="n">
        <f aca="false">AU111-AX111</f>
        <v>0</v>
      </c>
      <c r="BB111" s="26" t="n">
        <f aca="false">AV111-AY111</f>
        <v>0</v>
      </c>
      <c r="BC111" s="31" t="n">
        <f aca="false">AK111-AW111-AX111-AY111</f>
        <v>0</v>
      </c>
      <c r="BD111" s="27" t="n">
        <f aca="false">AW111+IF((BA111&gt;AZ111)+(BB111&gt;AZ111)&lt;BC111,1,0)</f>
        <v>0</v>
      </c>
      <c r="BE111" s="27" t="n">
        <f aca="false">AX111+IF((AZ111&gt;BA111)+(BB111&gt;BA111)+(AZ111=BA111)&lt;BC111,1,0)</f>
        <v>0</v>
      </c>
      <c r="BF111" s="27" t="n">
        <f aca="false">AY111+IF((AZ111&gt;BB111)+(BA111&gt;BB111)+(AZ111=BB111)+(BA111=BB111)&lt;BC111,1,0)</f>
        <v>0</v>
      </c>
    </row>
    <row r="112" customFormat="false" ht="15" hidden="false" customHeight="false" outlineLevel="0" collapsed="false">
      <c r="A112" s="22" t="str">
        <f aca="false">'District Data'!A112</f>
        <v>Tharparkar</v>
      </c>
      <c r="B112" s="22" t="str">
        <f aca="false">'District Data'!C112</f>
        <v>Karachi Region</v>
      </c>
      <c r="C112" s="22" t="str">
        <f aca="false">'District Data'!D112</f>
        <v>Rest</v>
      </c>
      <c r="D112" s="23" t="n">
        <f aca="false">ROUND('District Data'!E112*'District Data'!F112,0)</f>
        <v>423304</v>
      </c>
      <c r="E112" s="23" t="n">
        <f aca="false">'District Data'!I112</f>
        <v>47</v>
      </c>
      <c r="F112" s="23" t="n">
        <f aca="false">'District Data'!L112</f>
        <v>15911.9</v>
      </c>
      <c r="G112" s="24" t="n">
        <f aca="false">IFERROR(F112/(E112*Weeks),0)</f>
        <v>6.51059738134206</v>
      </c>
      <c r="H112" s="25" t="n">
        <f aca="false">IFERROR('District Data'!N112/('District Data'!M112*Weeks),0)</f>
        <v>3.02884615384615</v>
      </c>
      <c r="I112" s="24" t="n">
        <f aca="false">IFERROR(SUMIFS('District Data'!$N$5:$N$119,'District Data'!$C$5:$C$119,B112)/(SUMIFS('District Data'!$M$5:$M$119,'District Data'!$C$5:$C$119,B112)*Weeks),0)</f>
        <v>12.952446872194</v>
      </c>
      <c r="J112" s="24" t="n">
        <f aca="false">IF(TPBasis="NI TP",IF(H112&gt;0,H112,I112),G112)</f>
        <v>3.02884615384615</v>
      </c>
      <c r="K112" s="26" t="n">
        <f aca="false">IFERROR(F112/D112,0)</f>
        <v>0.037589769999811</v>
      </c>
      <c r="L112" s="27" t="n">
        <f aca="false">IFERROR(D112/E112,0)</f>
        <v>9006.46808510638</v>
      </c>
      <c r="M112" s="28" t="n">
        <f aca="false">IFERROR('District Data'!L112/'District Data'!K112-1,0)</f>
        <v>0.0463330111196596</v>
      </c>
      <c r="N112" s="28" t="n">
        <f aca="false">IFERROR(('District Data'!L112/'District Data'!J112)^(1/2)-1,0)</f>
        <v>0.0670852012579697</v>
      </c>
      <c r="O112" s="28" t="n">
        <f aca="false">IFERROR('District Data'!I112/'District Data'!H112-1,0)</f>
        <v>0.0217391304347827</v>
      </c>
      <c r="P112" s="7" t="str">
        <f aca="false">IF(K112&gt;=PCC_L1,"Layer 01",IF(K112&gt;=PCC_L2,"Layer 02",IF(K112&gt;=PCC_L3,"Layer 03",IF(K112&gt;=PCC_L4,"Layer 04","Layer 05"))))</f>
        <v>Layer 05</v>
      </c>
      <c r="Q112" s="7" t="str">
        <f aca="false">IF(L112&gt;=PPO_L1,"Layer 01",IF(L112&gt;=PPO_L2,"Layer 02",IF(L112&gt;=PPO_L3,"Layer 03",IF(L112&gt;=PPO_L4,"Layer 04","Layer 05"))))</f>
        <v>Layer 03</v>
      </c>
      <c r="R112" s="29" t="n">
        <f aca="false">D112/IdealPPO-E112</f>
        <v>517.405333333333</v>
      </c>
      <c r="S112" s="29" t="n">
        <f aca="false">IdealTP*Weeks-(Weeks*J112+FirstFill)</f>
        <v>542.5</v>
      </c>
      <c r="T112" s="29" t="n">
        <f aca="false">IF(S112&gt;0,(F112-IdealTP*Weeks*E112)/S112,1000000000000)</f>
        <v>-38.2453456221198</v>
      </c>
      <c r="U112" s="27" t="n">
        <f aca="false">IF(E112&lt;=0,0,IF(G112&lt;=IdealTP,0,IF(L112&lt;=IdealPPO,0,INT(MIN(T112,R112)+0.000000001))))</f>
        <v>0</v>
      </c>
      <c r="V112" s="7" t="str">
        <f aca="false">IF(E112&lt;=0,"No current outlets",IF(G112&lt;=IdealTP,"TP already at or below ideal",IF(L112&lt;=IdealPPO,"PPO already at or below ideal",IF(T112&lt;=R112,"Stopped by TP reaching ideal","Stopped by PPO reaching ideal"))))</f>
        <v>TP already at or below ideal</v>
      </c>
      <c r="W112" s="30" t="n">
        <f aca="false">F112+U112*(Weeks*J112+FirstFill)</f>
        <v>15911.9</v>
      </c>
      <c r="X112" s="30" t="n">
        <f aca="false">E112+U112</f>
        <v>47</v>
      </c>
      <c r="Y112" s="24" t="n">
        <f aca="false">IFERROR(W112/(X112*Weeks),0)</f>
        <v>6.51059738134206</v>
      </c>
      <c r="Z112" s="30" t="n">
        <f aca="false">IFERROR(D112/X112,0)</f>
        <v>9006.46808510638</v>
      </c>
      <c r="AA112" s="7" t="str">
        <f aca="false">IF(AND(K112&gt;=NationalPCC,L112&gt;IdealPPO),"Q1: High PCC, High PPO",IF(K112&gt;=NationalPCC,"Q2: High PCC, Low PPO",IF(L112&gt;IdealPPO,"Q3: Low PCC, High PPO","Q4: Low PCC, Low PPO")))</f>
        <v>Q3: Low PCC, High PPO</v>
      </c>
      <c r="AB112" s="7" t="str">
        <f aca="false">IF(K112&gt;=NationalPCC,IF(L112&gt;IdealPPO,"Phase 1","Phase 2"),"Phase 3")</f>
        <v>Phase 3</v>
      </c>
      <c r="AC112" s="7" t="str">
        <f aca="false">IF(AND(G112&gt;IdealTP,L112&gt;IdealPPO),"High TP, High PPO",IF(G112&gt;IdealTP,"High TP, Low PPO",IF(L112&gt;IdealPPO,"Low TP, High PPO","Low TP, Low PPO")))</f>
        <v>Low TP, High PPO</v>
      </c>
      <c r="AD112" s="31" t="n">
        <f aca="false">INDEX(WaveNumbers,MATCH(C112,WaveNames,0))</f>
        <v>4</v>
      </c>
      <c r="AE112" s="32" t="str">
        <f aca="false">IF(U112&gt;0,AD112*10000000+VALUE(RIGHT(AB112,1))*1000000+(1000000-U112)+ROW()/1000000,"")</f>
        <v/>
      </c>
      <c r="AF112" s="31" t="str">
        <f aca="false">IF(U112&gt;0,COUNTIFS($AE$5:$AE$119,"&lt;"&amp;AE112)+1,"")</f>
        <v/>
      </c>
      <c r="AG112" s="7" t="str">
        <f aca="false">IF(AF112="","No",IF(AF112&lt;=TopN,"Yes","No"))</f>
        <v>No</v>
      </c>
      <c r="AH112" s="30" t="n">
        <f aca="false">INT('District Data'!O112*ConvRate)</f>
        <v>36</v>
      </c>
      <c r="AI112" s="27" t="n">
        <f aca="false">MIN(U112,AH112)</f>
        <v>0</v>
      </c>
      <c r="AJ112" s="7" t="str">
        <f aca="false">IF(U112=0,"No expansion",IF(AH112&lt;U112,"Supply constrained (not enough shops)","Demand constrained (enough shops)"))</f>
        <v>No expansion</v>
      </c>
      <c r="AK112" s="30" t="n">
        <f aca="false">IF(AG112="Yes",AI112,0)</f>
        <v>0</v>
      </c>
      <c r="AL112" s="26" t="n">
        <f aca="false">IF(AG112="Yes",IF(Budget1&gt;=ShortlistFinal,AK112,AK112/ShortlistFinal*Budget1),0)</f>
        <v>0</v>
      </c>
      <c r="AM112" s="30" t="n">
        <f aca="false">INT(AL112)</f>
        <v>0</v>
      </c>
      <c r="AN112" s="26" t="n">
        <f aca="false">IF(AND(AG112="Yes",Budget1&lt;ShortlistFinal),AL112-AM112,-1)</f>
        <v>-1</v>
      </c>
      <c r="AO112" s="27" t="n">
        <f aca="false">IF(AG112&lt;&gt;"Yes",0,IF(Budget1&gt;=ShortlistFinal,AK112,AM112+IF(COUNTIFS($AN$5:$AN$119,"&gt;"&amp;AN112)+COUNTIFS($AN$5:$AN$119,AN112,$AF$5:$AF$119,"&lt;"&amp;AF112)&lt;Budget1-SUM($AM$5:$AM$119),1,0)))</f>
        <v>0</v>
      </c>
      <c r="AP112" s="26" t="n">
        <f aca="false">IF(AG112="Yes",IF(Budget2&gt;=ShortlistFinal,AK112,AK112/ShortlistFinal*Budget2),0)</f>
        <v>0</v>
      </c>
      <c r="AQ112" s="30" t="n">
        <f aca="false">INT(AP112)</f>
        <v>0</v>
      </c>
      <c r="AR112" s="26" t="n">
        <f aca="false">IF(AND(AG112="Yes",Budget2&lt;ShortlistFinal),AP112-AQ112,-1)</f>
        <v>-1</v>
      </c>
      <c r="AS112" s="27" t="n">
        <f aca="false">IF(AG112&lt;&gt;"Yes",0,IF(Budget2&gt;=ShortlistFinal,AK112,AQ112+IF(COUNTIFS($AR$5:$AR$119,"&gt;"&amp;AR112)+COUNTIFS($AR$5:$AR$119,AR112,$AF$5:$AF$119,"&lt;"&amp;AF112)&lt;Budget2-SUM($AQ$5:$AQ$119),1,0)))</f>
        <v>0</v>
      </c>
      <c r="AT112" s="26" t="n">
        <f aca="false">AK112*Share2025</f>
        <v>0</v>
      </c>
      <c r="AU112" s="26" t="n">
        <f aca="false">AK112*Share2026</f>
        <v>0</v>
      </c>
      <c r="AV112" s="26" t="n">
        <f aca="false">AK112*Share2027</f>
        <v>0</v>
      </c>
      <c r="AW112" s="31" t="n">
        <f aca="false">INT(AT112)</f>
        <v>0</v>
      </c>
      <c r="AX112" s="31" t="n">
        <f aca="false">INT(AU112)</f>
        <v>0</v>
      </c>
      <c r="AY112" s="31" t="n">
        <f aca="false">INT(AV112)</f>
        <v>0</v>
      </c>
      <c r="AZ112" s="26" t="n">
        <f aca="false">AT112-AW112</f>
        <v>0</v>
      </c>
      <c r="BA112" s="26" t="n">
        <f aca="false">AU112-AX112</f>
        <v>0</v>
      </c>
      <c r="BB112" s="26" t="n">
        <f aca="false">AV112-AY112</f>
        <v>0</v>
      </c>
      <c r="BC112" s="31" t="n">
        <f aca="false">AK112-AW112-AX112-AY112</f>
        <v>0</v>
      </c>
      <c r="BD112" s="27" t="n">
        <f aca="false">AW112+IF((BA112&gt;AZ112)+(BB112&gt;AZ112)&lt;BC112,1,0)</f>
        <v>0</v>
      </c>
      <c r="BE112" s="27" t="n">
        <f aca="false">AX112+IF((AZ112&gt;BA112)+(BB112&gt;BA112)+(AZ112=BA112)&lt;BC112,1,0)</f>
        <v>0</v>
      </c>
      <c r="BF112" s="27" t="n">
        <f aca="false">AY112+IF((AZ112&gt;BB112)+(BA112&gt;BB112)+(AZ112=BB112)+(BA112=BB112)&lt;BC112,1,0)</f>
        <v>0</v>
      </c>
    </row>
    <row r="113" customFormat="false" ht="15" hidden="false" customHeight="false" outlineLevel="0" collapsed="false">
      <c r="A113" s="22" t="str">
        <f aca="false">'District Data'!A113</f>
        <v>Thatta</v>
      </c>
      <c r="B113" s="22" t="str">
        <f aca="false">'District Data'!C113</f>
        <v>Karachi Region</v>
      </c>
      <c r="C113" s="22" t="str">
        <f aca="false">'District Data'!D113</f>
        <v>Neighbouring</v>
      </c>
      <c r="D113" s="23" t="n">
        <f aca="false">ROUND('District Data'!E113*'District Data'!F113,0)</f>
        <v>423316</v>
      </c>
      <c r="E113" s="23" t="n">
        <f aca="false">'District Data'!I113</f>
        <v>92</v>
      </c>
      <c r="F113" s="23" t="n">
        <f aca="false">'District Data'!L113</f>
        <v>78122</v>
      </c>
      <c r="G113" s="24" t="n">
        <f aca="false">IFERROR(F113/(E113*Weeks),0)</f>
        <v>16.3298494983278</v>
      </c>
      <c r="H113" s="25" t="n">
        <f aca="false">IFERROR('District Data'!N113/('District Data'!M113*Weeks),0)</f>
        <v>8.17574786324786</v>
      </c>
      <c r="I113" s="24" t="n">
        <f aca="false">IFERROR(SUMIFS('District Data'!$N$5:$N$119,'District Data'!$C$5:$C$119,B113)/(SUMIFS('District Data'!$M$5:$M$119,'District Data'!$C$5:$C$119,B113)*Weeks),0)</f>
        <v>12.952446872194</v>
      </c>
      <c r="J113" s="24" t="n">
        <f aca="false">IF(TPBasis="NI TP",IF(H113&gt;0,H113,I113),G113)</f>
        <v>8.17574786324786</v>
      </c>
      <c r="K113" s="26" t="n">
        <f aca="false">IFERROR(F113/D113,0)</f>
        <v>0.184547713764658</v>
      </c>
      <c r="L113" s="27" t="n">
        <f aca="false">IFERROR(D113/E113,0)</f>
        <v>4601.26086956522</v>
      </c>
      <c r="M113" s="28" t="n">
        <f aca="false">IFERROR('District Data'!L113/'District Data'!K113-1,0)</f>
        <v>0.189453538350977</v>
      </c>
      <c r="N113" s="28" t="n">
        <f aca="false">IFERROR(('District Data'!L113/'District Data'!J113)^(1/2)-1,0)</f>
        <v>0.157412969567301</v>
      </c>
      <c r="O113" s="28" t="n">
        <f aca="false">IFERROR('District Data'!I113/'District Data'!H113-1,0)</f>
        <v>0.226666666666667</v>
      </c>
      <c r="P113" s="7" t="str">
        <f aca="false">IF(K113&gt;=PCC_L1,"Layer 01",IF(K113&gt;=PCC_L2,"Layer 02",IF(K113&gt;=PCC_L3,"Layer 03",IF(K113&gt;=PCC_L4,"Layer 04","Layer 05"))))</f>
        <v>Layer 05</v>
      </c>
      <c r="Q113" s="7" t="str">
        <f aca="false">IF(L113&gt;=PPO_L1,"Layer 01",IF(L113&gt;=PPO_L2,"Layer 02",IF(L113&gt;=PPO_L3,"Layer 03",IF(L113&gt;=PPO_L4,"Layer 04","Layer 05"))))</f>
        <v>Layer 03</v>
      </c>
      <c r="R113" s="29" t="n">
        <f aca="false">D113/IdealPPO-E113</f>
        <v>472.421333333333</v>
      </c>
      <c r="S113" s="29" t="n">
        <f aca="false">IdealTP*Weeks-(Weeks*J113+FirstFill)</f>
        <v>274.861111111111</v>
      </c>
      <c r="T113" s="29" t="n">
        <f aca="false">IF(S113&gt;0,(F113-IdealTP*Weeks*E113)/S113,1000000000000)</f>
        <v>23.1462354724608</v>
      </c>
      <c r="U113" s="27" t="n">
        <f aca="false">IF(E113&lt;=0,0,IF(G113&lt;=IdealTP,0,IF(L113&lt;=IdealPPO,0,INT(MIN(T113,R113)+0.000000001))))</f>
        <v>23</v>
      </c>
      <c r="V113" s="7" t="str">
        <f aca="false">IF(E113&lt;=0,"No current outlets",IF(G113&lt;=IdealTP,"TP already at or below ideal",IF(L113&lt;=IdealPPO,"PPO already at or below ideal",IF(T113&lt;=R113,"Stopped by TP reaching ideal","Stopped by PPO reaching ideal"))))</f>
        <v>Stopped by TP reaching ideal</v>
      </c>
      <c r="W113" s="30" t="n">
        <f aca="false">F113+U113*(Weeks*J113+FirstFill)</f>
        <v>89740.1944444444</v>
      </c>
      <c r="X113" s="30" t="n">
        <f aca="false">E113+U113</f>
        <v>115</v>
      </c>
      <c r="Y113" s="24" t="n">
        <f aca="false">IFERROR(W113/(X113*Weeks),0)</f>
        <v>15.0067214790041</v>
      </c>
      <c r="Z113" s="30" t="n">
        <f aca="false">IFERROR(D113/X113,0)</f>
        <v>3681.00869565217</v>
      </c>
      <c r="AA113" s="7" t="str">
        <f aca="false">IF(AND(K113&gt;=NationalPCC,L113&gt;IdealPPO),"Q1: High PCC, High PPO",IF(K113&gt;=NationalPCC,"Q2: High PCC, Low PPO",IF(L113&gt;IdealPPO,"Q3: Low PCC, High PPO","Q4: Low PCC, Low PPO")))</f>
        <v>Q3: Low PCC, High PPO</v>
      </c>
      <c r="AB113" s="7" t="str">
        <f aca="false">IF(K113&gt;=NationalPCC,IF(L113&gt;IdealPPO,"Phase 1","Phase 2"),"Phase 3")</f>
        <v>Phase 3</v>
      </c>
      <c r="AC113" s="7" t="str">
        <f aca="false">IF(AND(G113&gt;IdealTP,L113&gt;IdealPPO),"High TP, High PPO",IF(G113&gt;IdealTP,"High TP, Low PPO",IF(L113&gt;IdealPPO,"Low TP, High PPO","Low TP, Low PPO")))</f>
        <v>High TP, High PPO</v>
      </c>
      <c r="AD113" s="31" t="n">
        <f aca="false">INDEX(WaveNumbers,MATCH(C113,WaveNames,0))</f>
        <v>2</v>
      </c>
      <c r="AE113" s="32" t="n">
        <f aca="false">IF(U113&gt;0,AD113*10000000+VALUE(RIGHT(AB113,1))*1000000+(1000000-U113)+ROW()/1000000,"")</f>
        <v>23999977.000113</v>
      </c>
      <c r="AF113" s="31" t="n">
        <f aca="false">IF(U113&gt;0,COUNTIFS($AE$5:$AE$119,"&lt;"&amp;AE113)+1,"")</f>
        <v>32</v>
      </c>
      <c r="AG113" s="7" t="str">
        <f aca="false">IF(AF113="","No",IF(AF113&lt;=TopN,"Yes","No"))</f>
        <v>Yes</v>
      </c>
      <c r="AH113" s="30" t="n">
        <f aca="false">INT('District Data'!O113*ConvRate)</f>
        <v>27</v>
      </c>
      <c r="AI113" s="27" t="n">
        <f aca="false">MIN(U113,AH113)</f>
        <v>23</v>
      </c>
      <c r="AJ113" s="7" t="str">
        <f aca="false">IF(U113=0,"No expansion",IF(AH113&lt;U113,"Supply constrained (not enough shops)","Demand constrained (enough shops)"))</f>
        <v>Demand constrained (enough shops)</v>
      </c>
      <c r="AK113" s="30" t="n">
        <f aca="false">IF(AG113="Yes",AI113,0)</f>
        <v>23</v>
      </c>
      <c r="AL113" s="26" t="n">
        <f aca="false">IF(AG113="Yes",IF(Budget1&gt;=ShortlistFinal,AK113,AK113/ShortlistFinal*Budget1),0)</f>
        <v>13.5994087213599</v>
      </c>
      <c r="AM113" s="30" t="n">
        <f aca="false">INT(AL113)</f>
        <v>13</v>
      </c>
      <c r="AN113" s="26" t="n">
        <f aca="false">IF(AND(AG113="Yes",Budget1&lt;ShortlistFinal),AL113-AM113,-1)</f>
        <v>0.599408721359941</v>
      </c>
      <c r="AO113" s="27" t="n">
        <f aca="false">IF(AG113&lt;&gt;"Yes",0,IF(Budget1&gt;=ShortlistFinal,AK113,AM113+IF(COUNTIFS($AN$5:$AN$119,"&gt;"&amp;AN113)+COUNTIFS($AN$5:$AN$119,AN113,$AF$5:$AF$119,"&lt;"&amp;AF113)&lt;Budget1-SUM($AM$5:$AM$119),1,0)))</f>
        <v>14</v>
      </c>
      <c r="AP113" s="26" t="n">
        <f aca="false">IF(AG113="Yes",IF(Budget2&gt;=ShortlistFinal,AK113,AK113/ShortlistFinal*Budget2),0)</f>
        <v>20.3991130820399</v>
      </c>
      <c r="AQ113" s="30" t="n">
        <f aca="false">INT(AP113)</f>
        <v>20</v>
      </c>
      <c r="AR113" s="26" t="n">
        <f aca="false">IF(AND(AG113="Yes",Budget2&lt;ShortlistFinal),AP113-AQ113,-1)</f>
        <v>0.399113082039911</v>
      </c>
      <c r="AS113" s="27" t="n">
        <f aca="false">IF(AG113&lt;&gt;"Yes",0,IF(Budget2&gt;=ShortlistFinal,AK113,AQ113+IF(COUNTIFS($AR$5:$AR$119,"&gt;"&amp;AR113)+COUNTIFS($AR$5:$AR$119,AR113,$AF$5:$AF$119,"&lt;"&amp;AF113)&lt;Budget2-SUM($AQ$5:$AQ$119),1,0)))</f>
        <v>20</v>
      </c>
      <c r="AT113" s="26" t="n">
        <f aca="false">AK113*Share2025</f>
        <v>8.11764705882353</v>
      </c>
      <c r="AU113" s="26" t="n">
        <f aca="false">AK113*Share2026</f>
        <v>8.11764705882353</v>
      </c>
      <c r="AV113" s="26" t="n">
        <f aca="false">AK113*Share2027</f>
        <v>6.76470588235294</v>
      </c>
      <c r="AW113" s="31" t="n">
        <f aca="false">INT(AT113)</f>
        <v>8</v>
      </c>
      <c r="AX113" s="31" t="n">
        <f aca="false">INT(AU113)</f>
        <v>8</v>
      </c>
      <c r="AY113" s="31" t="n">
        <f aca="false">INT(AV113)</f>
        <v>6</v>
      </c>
      <c r="AZ113" s="26" t="n">
        <f aca="false">AT113-AW113</f>
        <v>0.117647058823531</v>
      </c>
      <c r="BA113" s="26" t="n">
        <f aca="false">AU113-AX113</f>
        <v>0.117647058823531</v>
      </c>
      <c r="BB113" s="26" t="n">
        <f aca="false">AV113-AY113</f>
        <v>0.76470588235294</v>
      </c>
      <c r="BC113" s="31" t="n">
        <f aca="false">AK113-AW113-AX113-AY113</f>
        <v>1</v>
      </c>
      <c r="BD113" s="27" t="n">
        <f aca="false">AW113+IF((BA113&gt;AZ113)+(BB113&gt;AZ113)&lt;BC113,1,0)</f>
        <v>8</v>
      </c>
      <c r="BE113" s="27" t="n">
        <f aca="false">AX113+IF((AZ113&gt;BA113)+(BB113&gt;BA113)+(AZ113=BA113)&lt;BC113,1,0)</f>
        <v>8</v>
      </c>
      <c r="BF113" s="27" t="n">
        <f aca="false">AY113+IF((AZ113&gt;BB113)+(BA113&gt;BB113)+(AZ113=BB113)+(BA113=BB113)&lt;BC113,1,0)</f>
        <v>7</v>
      </c>
    </row>
    <row r="114" customFormat="false" ht="15" hidden="false" customHeight="false" outlineLevel="0" collapsed="false">
      <c r="A114" s="22" t="str">
        <f aca="false">'District Data'!A114</f>
        <v>Toba Tek Singh</v>
      </c>
      <c r="B114" s="22" t="str">
        <f aca="false">'District Data'!C114</f>
        <v>Multan Region</v>
      </c>
      <c r="C114" s="22" t="str">
        <f aca="false">'District Data'!D114</f>
        <v>Neighbouring</v>
      </c>
      <c r="D114" s="23" t="n">
        <f aca="false">ROUND('District Data'!E114*'District Data'!F114,0)</f>
        <v>764973</v>
      </c>
      <c r="E114" s="23" t="n">
        <f aca="false">'District Data'!I114</f>
        <v>148</v>
      </c>
      <c r="F114" s="23" t="n">
        <f aca="false">'District Data'!L114</f>
        <v>171611.6</v>
      </c>
      <c r="G114" s="24" t="n">
        <f aca="false">IFERROR(F114/(E114*Weeks),0)</f>
        <v>22.2988045738046</v>
      </c>
      <c r="H114" s="25" t="n">
        <f aca="false">IFERROR('District Data'!N114/('District Data'!M114*Weeks),0)</f>
        <v>17.2811298076923</v>
      </c>
      <c r="I114" s="24" t="n">
        <f aca="false">IFERROR(SUMIFS('District Data'!$N$5:$N$119,'District Data'!$C$5:$C$119,B114)/(SUMIFS('District Data'!$M$5:$M$119,'District Data'!$C$5:$C$119,B114)*Weeks),0)</f>
        <v>8.16663285109386</v>
      </c>
      <c r="J114" s="24" t="n">
        <f aca="false">IF(TPBasis="NI TP",IF(H114&gt;0,H114,I114),G114)</f>
        <v>17.2811298076923</v>
      </c>
      <c r="K114" s="26" t="n">
        <f aca="false">IFERROR(F114/D114,0)</f>
        <v>0.224336806658536</v>
      </c>
      <c r="L114" s="27" t="n">
        <f aca="false">IFERROR(D114/E114,0)</f>
        <v>5168.73648648649</v>
      </c>
      <c r="M114" s="28" t="n">
        <f aca="false">IFERROR('District Data'!L114/'District Data'!K114-1,0)</f>
        <v>0.0244190426388589</v>
      </c>
      <c r="N114" s="28" t="n">
        <f aca="false">IFERROR(('District Data'!L114/'District Data'!J114)^(1/2)-1,0)</f>
        <v>0.0107418913204111</v>
      </c>
      <c r="O114" s="28" t="n">
        <f aca="false">IFERROR('District Data'!I114/'District Data'!H114-1,0)</f>
        <v>0.088235294117647</v>
      </c>
      <c r="P114" s="7" t="str">
        <f aca="false">IF(K114&gt;=PCC_L1,"Layer 01",IF(K114&gt;=PCC_L2,"Layer 02",IF(K114&gt;=PCC_L3,"Layer 03",IF(K114&gt;=PCC_L4,"Layer 04","Layer 05"))))</f>
        <v>Layer 04</v>
      </c>
      <c r="Q114" s="7" t="str">
        <f aca="false">IF(L114&gt;=PPO_L1,"Layer 01",IF(L114&gt;=PPO_L2,"Layer 02",IF(L114&gt;=PPO_L3,"Layer 03",IF(L114&gt;=PPO_L4,"Layer 04","Layer 05"))))</f>
        <v>Layer 03</v>
      </c>
      <c r="R114" s="29" t="n">
        <f aca="false">D114/IdealPPO-E114</f>
        <v>871.964</v>
      </c>
      <c r="S114" s="29" t="n">
        <f aca="false">IdealTP*Weeks-(Weeks*J114+FirstFill)</f>
        <v>-198.61875</v>
      </c>
      <c r="T114" s="29" t="n">
        <f aca="false">IF(S114&gt;0,(F114-IdealTP*Weeks*E114)/S114,1000000000000)</f>
        <v>1000000000000</v>
      </c>
      <c r="U114" s="27" t="n">
        <f aca="false">IF(E114&lt;=0,0,IF(G114&lt;=IdealTP,0,IF(L114&lt;=IdealPPO,0,INT(MIN(T114,R114)+0.000000001))))</f>
        <v>871</v>
      </c>
      <c r="V114" s="7" t="str">
        <f aca="false">IF(E114&lt;=0,"No current outlets",IF(G114&lt;=IdealTP,"TP already at or below ideal",IF(L114&lt;=IdealPPO,"PPO already at or below ideal",IF(T114&lt;=R114,"Stopped by TP reaching ideal","Stopped by PPO reaching ideal"))))</f>
        <v>Stopped by PPO reaching ideal</v>
      </c>
      <c r="W114" s="30" t="n">
        <f aca="false">F114+U114*(Weeks*J114+FirstFill)</f>
        <v>1023988.53125</v>
      </c>
      <c r="X114" s="30" t="n">
        <f aca="false">E114+U114</f>
        <v>1019</v>
      </c>
      <c r="Y114" s="24" t="n">
        <f aca="false">IFERROR(W114/(X114*Weeks),0)</f>
        <v>19.3249137776478</v>
      </c>
      <c r="Z114" s="30" t="n">
        <f aca="false">IFERROR(D114/X114,0)</f>
        <v>750.709519136408</v>
      </c>
      <c r="AA114" s="7" t="str">
        <f aca="false">IF(AND(K114&gt;=NationalPCC,L114&gt;IdealPPO),"Q1: High PCC, High PPO",IF(K114&gt;=NationalPCC,"Q2: High PCC, Low PPO",IF(L114&gt;IdealPPO,"Q3: Low PCC, High PPO","Q4: Low PCC, Low PPO")))</f>
        <v>Q3: Low PCC, High PPO</v>
      </c>
      <c r="AB114" s="7" t="str">
        <f aca="false">IF(K114&gt;=NationalPCC,IF(L114&gt;IdealPPO,"Phase 1","Phase 2"),"Phase 3")</f>
        <v>Phase 3</v>
      </c>
      <c r="AC114" s="7" t="str">
        <f aca="false">IF(AND(G114&gt;IdealTP,L114&gt;IdealPPO),"High TP, High PPO",IF(G114&gt;IdealTP,"High TP, Low PPO",IF(L114&gt;IdealPPO,"Low TP, High PPO","Low TP, Low PPO")))</f>
        <v>High TP, High PPO</v>
      </c>
      <c r="AD114" s="31" t="n">
        <f aca="false">INDEX(WaveNumbers,MATCH(C114,WaveNames,0))</f>
        <v>2</v>
      </c>
      <c r="AE114" s="32" t="n">
        <f aca="false">IF(U114&gt;0,AD114*10000000+VALUE(RIGHT(AB114,1))*1000000+(1000000-U114)+ROW()/1000000,"")</f>
        <v>23999129.000114</v>
      </c>
      <c r="AF114" s="31" t="n">
        <f aca="false">IF(U114&gt;0,COUNTIFS($AE$5:$AE$119,"&lt;"&amp;AE114)+1,"")</f>
        <v>21</v>
      </c>
      <c r="AG114" s="7" t="str">
        <f aca="false">IF(AF114="","No",IF(AF114&lt;=TopN,"Yes","No"))</f>
        <v>Yes</v>
      </c>
      <c r="AH114" s="30" t="n">
        <f aca="false">INT('District Data'!O114*ConvRate)</f>
        <v>30</v>
      </c>
      <c r="AI114" s="27" t="n">
        <f aca="false">MIN(U114,AH114)</f>
        <v>30</v>
      </c>
      <c r="AJ114" s="7" t="str">
        <f aca="false">IF(U114=0,"No expansion",IF(AH114&lt;U114,"Supply constrained (not enough shops)","Demand constrained (enough shops)"))</f>
        <v>Supply constrained (not enough shops)</v>
      </c>
      <c r="AK114" s="30" t="n">
        <f aca="false">IF(AG114="Yes",AI114,0)</f>
        <v>30</v>
      </c>
      <c r="AL114" s="26" t="n">
        <f aca="false">IF(AG114="Yes",IF(Budget1&gt;=ShortlistFinal,AK114,AK114/ShortlistFinal*Budget1),0)</f>
        <v>17.7383592017738</v>
      </c>
      <c r="AM114" s="30" t="n">
        <f aca="false">INT(AL114)</f>
        <v>17</v>
      </c>
      <c r="AN114" s="26" t="n">
        <f aca="false">IF(AND(AG114="Yes",Budget1&lt;ShortlistFinal),AL114-AM114,-1)</f>
        <v>0.738359201773836</v>
      </c>
      <c r="AO114" s="27" t="n">
        <f aca="false">IF(AG114&lt;&gt;"Yes",0,IF(Budget1&gt;=ShortlistFinal,AK114,AM114+IF(COUNTIFS($AN$5:$AN$119,"&gt;"&amp;AN114)+COUNTIFS($AN$5:$AN$119,AN114,$AF$5:$AF$119,"&lt;"&amp;AF114)&lt;Budget1-SUM($AM$5:$AM$119),1,0)))</f>
        <v>18</v>
      </c>
      <c r="AP114" s="26" t="n">
        <f aca="false">IF(AG114="Yes",IF(Budget2&gt;=ShortlistFinal,AK114,AK114/ShortlistFinal*Budget2),0)</f>
        <v>26.6075388026608</v>
      </c>
      <c r="AQ114" s="30" t="n">
        <f aca="false">INT(AP114)</f>
        <v>26</v>
      </c>
      <c r="AR114" s="26" t="n">
        <f aca="false">IF(AND(AG114="Yes",Budget2&lt;ShortlistFinal),AP114-AQ114,-1)</f>
        <v>0.607538802660756</v>
      </c>
      <c r="AS114" s="27" t="n">
        <f aca="false">IF(AG114&lt;&gt;"Yes",0,IF(Budget2&gt;=ShortlistFinal,AK114,AQ114+IF(COUNTIFS($AR$5:$AR$119,"&gt;"&amp;AR114)+COUNTIFS($AR$5:$AR$119,AR114,$AF$5:$AF$119,"&lt;"&amp;AF114)&lt;Budget2-SUM($AQ$5:$AQ$119),1,0)))</f>
        <v>27</v>
      </c>
      <c r="AT114" s="26" t="n">
        <f aca="false">AK114*Share2025</f>
        <v>10.5882352941176</v>
      </c>
      <c r="AU114" s="26" t="n">
        <f aca="false">AK114*Share2026</f>
        <v>10.5882352941176</v>
      </c>
      <c r="AV114" s="26" t="n">
        <f aca="false">AK114*Share2027</f>
        <v>8.82352941176471</v>
      </c>
      <c r="AW114" s="31" t="n">
        <f aca="false">INT(AT114)</f>
        <v>10</v>
      </c>
      <c r="AX114" s="31" t="n">
        <f aca="false">INT(AU114)</f>
        <v>10</v>
      </c>
      <c r="AY114" s="31" t="n">
        <f aca="false">INT(AV114)</f>
        <v>8</v>
      </c>
      <c r="AZ114" s="26" t="n">
        <f aca="false">AT114-AW114</f>
        <v>0.588235294117649</v>
      </c>
      <c r="BA114" s="26" t="n">
        <f aca="false">AU114-AX114</f>
        <v>0.588235294117649</v>
      </c>
      <c r="BB114" s="26" t="n">
        <f aca="false">AV114-AY114</f>
        <v>0.823529411764705</v>
      </c>
      <c r="BC114" s="31" t="n">
        <f aca="false">AK114-AW114-AX114-AY114</f>
        <v>2</v>
      </c>
      <c r="BD114" s="27" t="n">
        <f aca="false">AW114+IF((BA114&gt;AZ114)+(BB114&gt;AZ114)&lt;BC114,1,0)</f>
        <v>11</v>
      </c>
      <c r="BE114" s="27" t="n">
        <f aca="false">AX114+IF((AZ114&gt;BA114)+(BB114&gt;BA114)+(AZ114=BA114)&lt;BC114,1,0)</f>
        <v>10</v>
      </c>
      <c r="BF114" s="27" t="n">
        <f aca="false">AY114+IF((AZ114&gt;BB114)+(BA114&gt;BB114)+(AZ114=BB114)+(BA114=BB114)&lt;BC114,1,0)</f>
        <v>9</v>
      </c>
    </row>
    <row r="115" customFormat="false" ht="15" hidden="false" customHeight="false" outlineLevel="0" collapsed="false">
      <c r="A115" s="22" t="str">
        <f aca="false">'District Data'!A115</f>
        <v>Umerkot</v>
      </c>
      <c r="B115" s="22" t="str">
        <f aca="false">'District Data'!C115</f>
        <v>Karachi Region</v>
      </c>
      <c r="C115" s="22" t="str">
        <f aca="false">'District Data'!D115</f>
        <v>Rest</v>
      </c>
      <c r="D115" s="23" t="n">
        <f aca="false">ROUND('District Data'!E115*'District Data'!F115,0)</f>
        <v>266699</v>
      </c>
      <c r="E115" s="23" t="n">
        <f aca="false">'District Data'!I115</f>
        <v>27</v>
      </c>
      <c r="F115" s="23" t="n">
        <f aca="false">'District Data'!L115</f>
        <v>11110</v>
      </c>
      <c r="G115" s="24" t="n">
        <f aca="false">IFERROR(F115/(E115*Weeks),0)</f>
        <v>7.91310541310541</v>
      </c>
      <c r="H115" s="25" t="n">
        <f aca="false">IFERROR('District Data'!N115/('District Data'!M115*Weeks),0)</f>
        <v>4.14871794871795</v>
      </c>
      <c r="I115" s="24" t="n">
        <f aca="false">IFERROR(SUMIFS('District Data'!$N$5:$N$119,'District Data'!$C$5:$C$119,B115)/(SUMIFS('District Data'!$M$5:$M$119,'District Data'!$C$5:$C$119,B115)*Weeks),0)</f>
        <v>12.952446872194</v>
      </c>
      <c r="J115" s="24" t="n">
        <f aca="false">IF(TPBasis="NI TP",IF(H115&gt;0,H115,I115),G115)</f>
        <v>4.14871794871795</v>
      </c>
      <c r="K115" s="26" t="n">
        <f aca="false">IFERROR(F115/D115,0)</f>
        <v>0.0416574490343046</v>
      </c>
      <c r="L115" s="27" t="n">
        <f aca="false">IFERROR(D115/E115,0)</f>
        <v>9877.74074074074</v>
      </c>
      <c r="M115" s="28" t="n">
        <f aca="false">IFERROR('District Data'!L115/'District Data'!K115-1,0)</f>
        <v>0.115159545103235</v>
      </c>
      <c r="N115" s="28" t="n">
        <f aca="false">IFERROR(('District Data'!L115/'District Data'!J115)^(1/2)-1,0)</f>
        <v>0.073423784074858</v>
      </c>
      <c r="O115" s="28" t="n">
        <f aca="false">IFERROR('District Data'!I115/'District Data'!H115-1,0)</f>
        <v>0.125</v>
      </c>
      <c r="P115" s="7" t="str">
        <f aca="false">IF(K115&gt;=PCC_L1,"Layer 01",IF(K115&gt;=PCC_L2,"Layer 02",IF(K115&gt;=PCC_L3,"Layer 03",IF(K115&gt;=PCC_L4,"Layer 04","Layer 05"))))</f>
        <v>Layer 05</v>
      </c>
      <c r="Q115" s="7" t="str">
        <f aca="false">IF(L115&gt;=PPO_L1,"Layer 01",IF(L115&gt;=PPO_L2,"Layer 02",IF(L115&gt;=PPO_L3,"Layer 03",IF(L115&gt;=PPO_L4,"Layer 04","Layer 05"))))</f>
        <v>Layer 03</v>
      </c>
      <c r="R115" s="29" t="n">
        <f aca="false">D115/IdealPPO-E115</f>
        <v>328.598666666667</v>
      </c>
      <c r="S115" s="29" t="n">
        <f aca="false">IdealTP*Weeks-(Weeks*J115+FirstFill)</f>
        <v>484.266666666667</v>
      </c>
      <c r="T115" s="29" t="n">
        <f aca="false">IF(S115&gt;0,(F115-IdealTP*Weeks*E115)/S115,1000000000000)</f>
        <v>-20.5465308370044</v>
      </c>
      <c r="U115" s="27" t="n">
        <f aca="false">IF(E115&lt;=0,0,IF(G115&lt;=IdealTP,0,IF(L115&lt;=IdealPPO,0,INT(MIN(T115,R115)+0.000000001))))</f>
        <v>0</v>
      </c>
      <c r="V115" s="7" t="str">
        <f aca="false">IF(E115&lt;=0,"No current outlets",IF(G115&lt;=IdealTP,"TP already at or below ideal",IF(L115&lt;=IdealPPO,"PPO already at or below ideal",IF(T115&lt;=R115,"Stopped by TP reaching ideal","Stopped by PPO reaching ideal"))))</f>
        <v>TP already at or below ideal</v>
      </c>
      <c r="W115" s="30" t="n">
        <f aca="false">F115+U115*(Weeks*J115+FirstFill)</f>
        <v>11110</v>
      </c>
      <c r="X115" s="30" t="n">
        <f aca="false">E115+U115</f>
        <v>27</v>
      </c>
      <c r="Y115" s="24" t="n">
        <f aca="false">IFERROR(W115/(X115*Weeks),0)</f>
        <v>7.91310541310541</v>
      </c>
      <c r="Z115" s="30" t="n">
        <f aca="false">IFERROR(D115/X115,0)</f>
        <v>9877.74074074074</v>
      </c>
      <c r="AA115" s="7" t="str">
        <f aca="false">IF(AND(K115&gt;=NationalPCC,L115&gt;IdealPPO),"Q1: High PCC, High PPO",IF(K115&gt;=NationalPCC,"Q2: High PCC, Low PPO",IF(L115&gt;IdealPPO,"Q3: Low PCC, High PPO","Q4: Low PCC, Low PPO")))</f>
        <v>Q3: Low PCC, High PPO</v>
      </c>
      <c r="AB115" s="7" t="str">
        <f aca="false">IF(K115&gt;=NationalPCC,IF(L115&gt;IdealPPO,"Phase 1","Phase 2"),"Phase 3")</f>
        <v>Phase 3</v>
      </c>
      <c r="AC115" s="7" t="str">
        <f aca="false">IF(AND(G115&gt;IdealTP,L115&gt;IdealPPO),"High TP, High PPO",IF(G115&gt;IdealTP,"High TP, Low PPO",IF(L115&gt;IdealPPO,"Low TP, High PPO","Low TP, Low PPO")))</f>
        <v>Low TP, High PPO</v>
      </c>
      <c r="AD115" s="31" t="n">
        <f aca="false">INDEX(WaveNumbers,MATCH(C115,WaveNames,0))</f>
        <v>4</v>
      </c>
      <c r="AE115" s="32" t="str">
        <f aca="false">IF(U115&gt;0,AD115*10000000+VALUE(RIGHT(AB115,1))*1000000+(1000000-U115)+ROW()/1000000,"")</f>
        <v/>
      </c>
      <c r="AF115" s="31" t="str">
        <f aca="false">IF(U115&gt;0,COUNTIFS($AE$5:$AE$119,"&lt;"&amp;AE115)+1,"")</f>
        <v/>
      </c>
      <c r="AG115" s="7" t="str">
        <f aca="false">IF(AF115="","No",IF(AF115&lt;=TopN,"Yes","No"))</f>
        <v>No</v>
      </c>
      <c r="AH115" s="30" t="n">
        <f aca="false">INT('District Data'!O115*ConvRate)</f>
        <v>34</v>
      </c>
      <c r="AI115" s="27" t="n">
        <f aca="false">MIN(U115,AH115)</f>
        <v>0</v>
      </c>
      <c r="AJ115" s="7" t="str">
        <f aca="false">IF(U115=0,"No expansion",IF(AH115&lt;U115,"Supply constrained (not enough shops)","Demand constrained (enough shops)"))</f>
        <v>No expansion</v>
      </c>
      <c r="AK115" s="30" t="n">
        <f aca="false">IF(AG115="Yes",AI115,0)</f>
        <v>0</v>
      </c>
      <c r="AL115" s="26" t="n">
        <f aca="false">IF(AG115="Yes",IF(Budget1&gt;=ShortlistFinal,AK115,AK115/ShortlistFinal*Budget1),0)</f>
        <v>0</v>
      </c>
      <c r="AM115" s="30" t="n">
        <f aca="false">INT(AL115)</f>
        <v>0</v>
      </c>
      <c r="AN115" s="26" t="n">
        <f aca="false">IF(AND(AG115="Yes",Budget1&lt;ShortlistFinal),AL115-AM115,-1)</f>
        <v>-1</v>
      </c>
      <c r="AO115" s="27" t="n">
        <f aca="false">IF(AG115&lt;&gt;"Yes",0,IF(Budget1&gt;=ShortlistFinal,AK115,AM115+IF(COUNTIFS($AN$5:$AN$119,"&gt;"&amp;AN115)+COUNTIFS($AN$5:$AN$119,AN115,$AF$5:$AF$119,"&lt;"&amp;AF115)&lt;Budget1-SUM($AM$5:$AM$119),1,0)))</f>
        <v>0</v>
      </c>
      <c r="AP115" s="26" t="n">
        <f aca="false">IF(AG115="Yes",IF(Budget2&gt;=ShortlistFinal,AK115,AK115/ShortlistFinal*Budget2),0)</f>
        <v>0</v>
      </c>
      <c r="AQ115" s="30" t="n">
        <f aca="false">INT(AP115)</f>
        <v>0</v>
      </c>
      <c r="AR115" s="26" t="n">
        <f aca="false">IF(AND(AG115="Yes",Budget2&lt;ShortlistFinal),AP115-AQ115,-1)</f>
        <v>-1</v>
      </c>
      <c r="AS115" s="27" t="n">
        <f aca="false">IF(AG115&lt;&gt;"Yes",0,IF(Budget2&gt;=ShortlistFinal,AK115,AQ115+IF(COUNTIFS($AR$5:$AR$119,"&gt;"&amp;AR115)+COUNTIFS($AR$5:$AR$119,AR115,$AF$5:$AF$119,"&lt;"&amp;AF115)&lt;Budget2-SUM($AQ$5:$AQ$119),1,0)))</f>
        <v>0</v>
      </c>
      <c r="AT115" s="26" t="n">
        <f aca="false">AK115*Share2025</f>
        <v>0</v>
      </c>
      <c r="AU115" s="26" t="n">
        <f aca="false">AK115*Share2026</f>
        <v>0</v>
      </c>
      <c r="AV115" s="26" t="n">
        <f aca="false">AK115*Share2027</f>
        <v>0</v>
      </c>
      <c r="AW115" s="31" t="n">
        <f aca="false">INT(AT115)</f>
        <v>0</v>
      </c>
      <c r="AX115" s="31" t="n">
        <f aca="false">INT(AU115)</f>
        <v>0</v>
      </c>
      <c r="AY115" s="31" t="n">
        <f aca="false">INT(AV115)</f>
        <v>0</v>
      </c>
      <c r="AZ115" s="26" t="n">
        <f aca="false">AT115-AW115</f>
        <v>0</v>
      </c>
      <c r="BA115" s="26" t="n">
        <f aca="false">AU115-AX115</f>
        <v>0</v>
      </c>
      <c r="BB115" s="26" t="n">
        <f aca="false">AV115-AY115</f>
        <v>0</v>
      </c>
      <c r="BC115" s="31" t="n">
        <f aca="false">AK115-AW115-AX115-AY115</f>
        <v>0</v>
      </c>
      <c r="BD115" s="27" t="n">
        <f aca="false">AW115+IF((BA115&gt;AZ115)+(BB115&gt;AZ115)&lt;BC115,1,0)</f>
        <v>0</v>
      </c>
      <c r="BE115" s="27" t="n">
        <f aca="false">AX115+IF((AZ115&gt;BA115)+(BB115&gt;BA115)+(AZ115=BA115)&lt;BC115,1,0)</f>
        <v>0</v>
      </c>
      <c r="BF115" s="27" t="n">
        <f aca="false">AY115+IF((AZ115&gt;BB115)+(BA115&gt;BB115)+(AZ115=BB115)+(BA115=BB115)&lt;BC115,1,0)</f>
        <v>0</v>
      </c>
    </row>
    <row r="116" customFormat="false" ht="15" hidden="false" customHeight="false" outlineLevel="0" collapsed="false">
      <c r="A116" s="22" t="str">
        <f aca="false">'District Data'!A116</f>
        <v>Upper Dir</v>
      </c>
      <c r="B116" s="22" t="str">
        <f aca="false">'District Data'!C116</f>
        <v>Peshawar Region</v>
      </c>
      <c r="C116" s="22" t="str">
        <f aca="false">'District Data'!D116</f>
        <v>Rest</v>
      </c>
      <c r="D116" s="23" t="n">
        <f aca="false">ROUND('District Data'!E116*'District Data'!F116,0)</f>
        <v>125214</v>
      </c>
      <c r="E116" s="23" t="n">
        <f aca="false">'District Data'!I116</f>
        <v>19</v>
      </c>
      <c r="F116" s="23" t="n">
        <f aca="false">'District Data'!L116</f>
        <v>10654.6</v>
      </c>
      <c r="G116" s="24" t="n">
        <f aca="false">IFERROR(F116/(E116*Weeks),0)</f>
        <v>10.784008097166</v>
      </c>
      <c r="H116" s="25" t="n">
        <f aca="false">IFERROR('District Data'!N116/('District Data'!M116*Weeks),0)</f>
        <v>6.90384615384615</v>
      </c>
      <c r="I116" s="24" t="n">
        <f aca="false">IFERROR(SUMIFS('District Data'!$N$5:$N$119,'District Data'!$C$5:$C$119,B116)/(SUMIFS('District Data'!$M$5:$M$119,'District Data'!$C$5:$C$119,B116)*Weeks),0)</f>
        <v>7.60397053195561</v>
      </c>
      <c r="J116" s="24" t="n">
        <f aca="false">IF(TPBasis="NI TP",IF(H116&gt;0,H116,I116),G116)</f>
        <v>6.90384615384615</v>
      </c>
      <c r="K116" s="26" t="n">
        <f aca="false">IFERROR(F116/D116,0)</f>
        <v>0.0850911239957193</v>
      </c>
      <c r="L116" s="27" t="n">
        <f aca="false">IFERROR(D116/E116,0)</f>
        <v>6590.21052631579</v>
      </c>
      <c r="M116" s="28" t="n">
        <f aca="false">IFERROR('District Data'!L116/'District Data'!K116-1,0)</f>
        <v>0.0232214197910265</v>
      </c>
      <c r="N116" s="28" t="n">
        <f aca="false">IFERROR(('District Data'!L116/'District Data'!J116)^(1/2)-1,0)</f>
        <v>-0.0180277228465633</v>
      </c>
      <c r="O116" s="28" t="n">
        <f aca="false">IFERROR('District Data'!I116/'District Data'!H116-1,0)</f>
        <v>0.117647058823529</v>
      </c>
      <c r="P116" s="7" t="str">
        <f aca="false">IF(K116&gt;=PCC_L1,"Layer 01",IF(K116&gt;=PCC_L2,"Layer 02",IF(K116&gt;=PCC_L3,"Layer 03",IF(K116&gt;=PCC_L4,"Layer 04","Layer 05"))))</f>
        <v>Layer 05</v>
      </c>
      <c r="Q116" s="7" t="str">
        <f aca="false">IF(L116&gt;=PPO_L1,"Layer 01",IF(L116&gt;=PPO_L2,"Layer 02",IF(L116&gt;=PPO_L3,"Layer 03",IF(L116&gt;=PPO_L4,"Layer 04","Layer 05"))))</f>
        <v>Layer 03</v>
      </c>
      <c r="R116" s="29" t="n">
        <f aca="false">D116/IdealPPO-E116</f>
        <v>147.952</v>
      </c>
      <c r="S116" s="29" t="n">
        <f aca="false">IdealTP*Weeks-(Weeks*J116+FirstFill)</f>
        <v>341</v>
      </c>
      <c r="T116" s="29" t="n">
        <f aca="false">IF(S116&gt;0,(F116-IdealTP*Weeks*E116)/S116,1000000000000)</f>
        <v>-12.2152492668622</v>
      </c>
      <c r="U116" s="27" t="n">
        <f aca="false">IF(E116&lt;=0,0,IF(G116&lt;=IdealTP,0,IF(L116&lt;=IdealPPO,0,INT(MIN(T116,R116)+0.000000001))))</f>
        <v>0</v>
      </c>
      <c r="V116" s="7" t="str">
        <f aca="false">IF(E116&lt;=0,"No current outlets",IF(G116&lt;=IdealTP,"TP already at or below ideal",IF(L116&lt;=IdealPPO,"PPO already at or below ideal",IF(T116&lt;=R116,"Stopped by TP reaching ideal","Stopped by PPO reaching ideal"))))</f>
        <v>TP already at or below ideal</v>
      </c>
      <c r="W116" s="30" t="n">
        <f aca="false">F116+U116*(Weeks*J116+FirstFill)</f>
        <v>10654.6</v>
      </c>
      <c r="X116" s="30" t="n">
        <f aca="false">E116+U116</f>
        <v>19</v>
      </c>
      <c r="Y116" s="24" t="n">
        <f aca="false">IFERROR(W116/(X116*Weeks),0)</f>
        <v>10.784008097166</v>
      </c>
      <c r="Z116" s="30" t="n">
        <f aca="false">IFERROR(D116/X116,0)</f>
        <v>6590.21052631579</v>
      </c>
      <c r="AA116" s="7" t="str">
        <f aca="false">IF(AND(K116&gt;=NationalPCC,L116&gt;IdealPPO),"Q1: High PCC, High PPO",IF(K116&gt;=NationalPCC,"Q2: High PCC, Low PPO",IF(L116&gt;IdealPPO,"Q3: Low PCC, High PPO","Q4: Low PCC, Low PPO")))</f>
        <v>Q3: Low PCC, High PPO</v>
      </c>
      <c r="AB116" s="7" t="str">
        <f aca="false">IF(K116&gt;=NationalPCC,IF(L116&gt;IdealPPO,"Phase 1","Phase 2"),"Phase 3")</f>
        <v>Phase 3</v>
      </c>
      <c r="AC116" s="7" t="str">
        <f aca="false">IF(AND(G116&gt;IdealTP,L116&gt;IdealPPO),"High TP, High PPO",IF(G116&gt;IdealTP,"High TP, Low PPO",IF(L116&gt;IdealPPO,"Low TP, High PPO","Low TP, Low PPO")))</f>
        <v>Low TP, High PPO</v>
      </c>
      <c r="AD116" s="31" t="n">
        <f aca="false">INDEX(WaveNumbers,MATCH(C116,WaveNames,0))</f>
        <v>4</v>
      </c>
      <c r="AE116" s="32" t="str">
        <f aca="false">IF(U116&gt;0,AD116*10000000+VALUE(RIGHT(AB116,1))*1000000+(1000000-U116)+ROW()/1000000,"")</f>
        <v/>
      </c>
      <c r="AF116" s="31" t="str">
        <f aca="false">IF(U116&gt;0,COUNTIFS($AE$5:$AE$119,"&lt;"&amp;AE116)+1,"")</f>
        <v/>
      </c>
      <c r="AG116" s="7" t="str">
        <f aca="false">IF(AF116="","No",IF(AF116&lt;=TopN,"Yes","No"))</f>
        <v>No</v>
      </c>
      <c r="AH116" s="30" t="n">
        <f aca="false">INT('District Data'!O116*ConvRate)</f>
        <v>8</v>
      </c>
      <c r="AI116" s="27" t="n">
        <f aca="false">MIN(U116,AH116)</f>
        <v>0</v>
      </c>
      <c r="AJ116" s="7" t="str">
        <f aca="false">IF(U116=0,"No expansion",IF(AH116&lt;U116,"Supply constrained (not enough shops)","Demand constrained (enough shops)"))</f>
        <v>No expansion</v>
      </c>
      <c r="AK116" s="30" t="n">
        <f aca="false">IF(AG116="Yes",AI116,0)</f>
        <v>0</v>
      </c>
      <c r="AL116" s="26" t="n">
        <f aca="false">IF(AG116="Yes",IF(Budget1&gt;=ShortlistFinal,AK116,AK116/ShortlistFinal*Budget1),0)</f>
        <v>0</v>
      </c>
      <c r="AM116" s="30" t="n">
        <f aca="false">INT(AL116)</f>
        <v>0</v>
      </c>
      <c r="AN116" s="26" t="n">
        <f aca="false">IF(AND(AG116="Yes",Budget1&lt;ShortlistFinal),AL116-AM116,-1)</f>
        <v>-1</v>
      </c>
      <c r="AO116" s="27" t="n">
        <f aca="false">IF(AG116&lt;&gt;"Yes",0,IF(Budget1&gt;=ShortlistFinal,AK116,AM116+IF(COUNTIFS($AN$5:$AN$119,"&gt;"&amp;AN116)+COUNTIFS($AN$5:$AN$119,AN116,$AF$5:$AF$119,"&lt;"&amp;AF116)&lt;Budget1-SUM($AM$5:$AM$119),1,0)))</f>
        <v>0</v>
      </c>
      <c r="AP116" s="26" t="n">
        <f aca="false">IF(AG116="Yes",IF(Budget2&gt;=ShortlistFinal,AK116,AK116/ShortlistFinal*Budget2),0)</f>
        <v>0</v>
      </c>
      <c r="AQ116" s="30" t="n">
        <f aca="false">INT(AP116)</f>
        <v>0</v>
      </c>
      <c r="AR116" s="26" t="n">
        <f aca="false">IF(AND(AG116="Yes",Budget2&lt;ShortlistFinal),AP116-AQ116,-1)</f>
        <v>-1</v>
      </c>
      <c r="AS116" s="27" t="n">
        <f aca="false">IF(AG116&lt;&gt;"Yes",0,IF(Budget2&gt;=ShortlistFinal,AK116,AQ116+IF(COUNTIFS($AR$5:$AR$119,"&gt;"&amp;AR116)+COUNTIFS($AR$5:$AR$119,AR116,$AF$5:$AF$119,"&lt;"&amp;AF116)&lt;Budget2-SUM($AQ$5:$AQ$119),1,0)))</f>
        <v>0</v>
      </c>
      <c r="AT116" s="26" t="n">
        <f aca="false">AK116*Share2025</f>
        <v>0</v>
      </c>
      <c r="AU116" s="26" t="n">
        <f aca="false">AK116*Share2026</f>
        <v>0</v>
      </c>
      <c r="AV116" s="26" t="n">
        <f aca="false">AK116*Share2027</f>
        <v>0</v>
      </c>
      <c r="AW116" s="31" t="n">
        <f aca="false">INT(AT116)</f>
        <v>0</v>
      </c>
      <c r="AX116" s="31" t="n">
        <f aca="false">INT(AU116)</f>
        <v>0</v>
      </c>
      <c r="AY116" s="31" t="n">
        <f aca="false">INT(AV116)</f>
        <v>0</v>
      </c>
      <c r="AZ116" s="26" t="n">
        <f aca="false">AT116-AW116</f>
        <v>0</v>
      </c>
      <c r="BA116" s="26" t="n">
        <f aca="false">AU116-AX116</f>
        <v>0</v>
      </c>
      <c r="BB116" s="26" t="n">
        <f aca="false">AV116-AY116</f>
        <v>0</v>
      </c>
      <c r="BC116" s="31" t="n">
        <f aca="false">AK116-AW116-AX116-AY116</f>
        <v>0</v>
      </c>
      <c r="BD116" s="27" t="n">
        <f aca="false">AW116+IF((BA116&gt;AZ116)+(BB116&gt;AZ116)&lt;BC116,1,0)</f>
        <v>0</v>
      </c>
      <c r="BE116" s="27" t="n">
        <f aca="false">AX116+IF((AZ116&gt;BA116)+(BB116&gt;BA116)+(AZ116=BA116)&lt;BC116,1,0)</f>
        <v>0</v>
      </c>
      <c r="BF116" s="27" t="n">
        <f aca="false">AY116+IF((AZ116&gt;BB116)+(BA116&gt;BB116)+(AZ116=BB116)+(BA116=BB116)&lt;BC116,1,0)</f>
        <v>0</v>
      </c>
    </row>
    <row r="117" customFormat="false" ht="15" hidden="false" customHeight="false" outlineLevel="0" collapsed="false">
      <c r="A117" s="22" t="str">
        <f aca="false">'District Data'!A117</f>
        <v>Vihari</v>
      </c>
      <c r="B117" s="22" t="str">
        <f aca="false">'District Data'!C117</f>
        <v>Multan Region</v>
      </c>
      <c r="C117" s="22" t="str">
        <f aca="false">'District Data'!D117</f>
        <v>Neighbouring</v>
      </c>
      <c r="D117" s="23" t="n">
        <f aca="false">ROUND('District Data'!E117*'District Data'!F117,0)</f>
        <v>821884</v>
      </c>
      <c r="E117" s="23" t="n">
        <f aca="false">'District Data'!I117</f>
        <v>161</v>
      </c>
      <c r="F117" s="23" t="n">
        <f aca="false">'District Data'!L117</f>
        <v>115802.6</v>
      </c>
      <c r="G117" s="24" t="n">
        <f aca="false">IFERROR(F117/(E117*Weeks),0)</f>
        <v>13.8321309125657</v>
      </c>
      <c r="H117" s="25" t="n">
        <f aca="false">IFERROR('District Data'!N117/('District Data'!M117*Weeks),0)</f>
        <v>8.60392628205128</v>
      </c>
      <c r="I117" s="24" t="n">
        <f aca="false">IFERROR(SUMIFS('District Data'!$N$5:$N$119,'District Data'!$C$5:$C$119,B117)/(SUMIFS('District Data'!$M$5:$M$119,'District Data'!$C$5:$C$119,B117)*Weeks),0)</f>
        <v>8.16663285109386</v>
      </c>
      <c r="J117" s="24" t="n">
        <f aca="false">IF(TPBasis="NI TP",IF(H117&gt;0,H117,I117),G117)</f>
        <v>8.60392628205128</v>
      </c>
      <c r="K117" s="26" t="n">
        <f aca="false">IFERROR(F117/D117,0)</f>
        <v>0.140898958977179</v>
      </c>
      <c r="L117" s="27" t="n">
        <f aca="false">IFERROR(D117/E117,0)</f>
        <v>5104.86956521739</v>
      </c>
      <c r="M117" s="28" t="n">
        <f aca="false">IFERROR('District Data'!L117/'District Data'!K117-1,0)</f>
        <v>0.0448829405485782</v>
      </c>
      <c r="N117" s="28" t="n">
        <f aca="false">IFERROR(('District Data'!L117/'District Data'!J117)^(1/2)-1,0)</f>
        <v>0.0402847910566124</v>
      </c>
      <c r="O117" s="28" t="n">
        <f aca="false">IFERROR('District Data'!I117/'District Data'!H117-1,0)</f>
        <v>0.110344827586207</v>
      </c>
      <c r="P117" s="7" t="str">
        <f aca="false">IF(K117&gt;=PCC_L1,"Layer 01",IF(K117&gt;=PCC_L2,"Layer 02",IF(K117&gt;=PCC_L3,"Layer 03",IF(K117&gt;=PCC_L4,"Layer 04","Layer 05"))))</f>
        <v>Layer 05</v>
      </c>
      <c r="Q117" s="7" t="str">
        <f aca="false">IF(L117&gt;=PPO_L1,"Layer 01",IF(L117&gt;=PPO_L2,"Layer 02",IF(L117&gt;=PPO_L3,"Layer 03",IF(L117&gt;=PPO_L4,"Layer 04","Layer 05"))))</f>
        <v>Layer 03</v>
      </c>
      <c r="R117" s="29" t="n">
        <f aca="false">D117/IdealPPO-E117</f>
        <v>934.845333333333</v>
      </c>
      <c r="S117" s="29" t="n">
        <f aca="false">IdealTP*Weeks-(Weeks*J117+FirstFill)</f>
        <v>252.595833333333</v>
      </c>
      <c r="T117" s="29" t="n">
        <f aca="false">IF(S117&gt;0,(F117-IdealTP*Weeks*E117)/S117,1000000000000)</f>
        <v>-38.707685201986</v>
      </c>
      <c r="U117" s="27" t="n">
        <f aca="false">IF(E117&lt;=0,0,IF(G117&lt;=IdealTP,0,IF(L117&lt;=IdealPPO,0,INT(MIN(T117,R117)+0.000000001))))</f>
        <v>0</v>
      </c>
      <c r="V117" s="7" t="str">
        <f aca="false">IF(E117&lt;=0,"No current outlets",IF(G117&lt;=IdealTP,"TP already at or below ideal",IF(L117&lt;=IdealPPO,"PPO already at or below ideal",IF(T117&lt;=R117,"Stopped by TP reaching ideal","Stopped by PPO reaching ideal"))))</f>
        <v>TP already at or below ideal</v>
      </c>
      <c r="W117" s="30" t="n">
        <f aca="false">F117+U117*(Weeks*J117+FirstFill)</f>
        <v>115802.6</v>
      </c>
      <c r="X117" s="30" t="n">
        <f aca="false">E117+U117</f>
        <v>161</v>
      </c>
      <c r="Y117" s="24" t="n">
        <f aca="false">IFERROR(W117/(X117*Weeks),0)</f>
        <v>13.8321309125657</v>
      </c>
      <c r="Z117" s="30" t="n">
        <f aca="false">IFERROR(D117/X117,0)</f>
        <v>5104.86956521739</v>
      </c>
      <c r="AA117" s="7" t="str">
        <f aca="false">IF(AND(K117&gt;=NationalPCC,L117&gt;IdealPPO),"Q1: High PCC, High PPO",IF(K117&gt;=NationalPCC,"Q2: High PCC, Low PPO",IF(L117&gt;IdealPPO,"Q3: Low PCC, High PPO","Q4: Low PCC, Low PPO")))</f>
        <v>Q3: Low PCC, High PPO</v>
      </c>
      <c r="AB117" s="7" t="str">
        <f aca="false">IF(K117&gt;=NationalPCC,IF(L117&gt;IdealPPO,"Phase 1","Phase 2"),"Phase 3")</f>
        <v>Phase 3</v>
      </c>
      <c r="AC117" s="7" t="str">
        <f aca="false">IF(AND(G117&gt;IdealTP,L117&gt;IdealPPO),"High TP, High PPO",IF(G117&gt;IdealTP,"High TP, Low PPO",IF(L117&gt;IdealPPO,"Low TP, High PPO","Low TP, Low PPO")))</f>
        <v>Low TP, High PPO</v>
      </c>
      <c r="AD117" s="31" t="n">
        <f aca="false">INDEX(WaveNumbers,MATCH(C117,WaveNames,0))</f>
        <v>2</v>
      </c>
      <c r="AE117" s="32" t="str">
        <f aca="false">IF(U117&gt;0,AD117*10000000+VALUE(RIGHT(AB117,1))*1000000+(1000000-U117)+ROW()/1000000,"")</f>
        <v/>
      </c>
      <c r="AF117" s="31" t="str">
        <f aca="false">IF(U117&gt;0,COUNTIFS($AE$5:$AE$119,"&lt;"&amp;AE117)+1,"")</f>
        <v/>
      </c>
      <c r="AG117" s="7" t="str">
        <f aca="false">IF(AF117="","No",IF(AF117&lt;=TopN,"Yes","No"))</f>
        <v>No</v>
      </c>
      <c r="AH117" s="30" t="n">
        <f aca="false">INT('District Data'!O117*ConvRate)</f>
        <v>103</v>
      </c>
      <c r="AI117" s="27" t="n">
        <f aca="false">MIN(U117,AH117)</f>
        <v>0</v>
      </c>
      <c r="AJ117" s="7" t="str">
        <f aca="false">IF(U117=0,"No expansion",IF(AH117&lt;U117,"Supply constrained (not enough shops)","Demand constrained (enough shops)"))</f>
        <v>No expansion</v>
      </c>
      <c r="AK117" s="30" t="n">
        <f aca="false">IF(AG117="Yes",AI117,0)</f>
        <v>0</v>
      </c>
      <c r="AL117" s="26" t="n">
        <f aca="false">IF(AG117="Yes",IF(Budget1&gt;=ShortlistFinal,AK117,AK117/ShortlistFinal*Budget1),0)</f>
        <v>0</v>
      </c>
      <c r="AM117" s="30" t="n">
        <f aca="false">INT(AL117)</f>
        <v>0</v>
      </c>
      <c r="AN117" s="26" t="n">
        <f aca="false">IF(AND(AG117="Yes",Budget1&lt;ShortlistFinal),AL117-AM117,-1)</f>
        <v>-1</v>
      </c>
      <c r="AO117" s="27" t="n">
        <f aca="false">IF(AG117&lt;&gt;"Yes",0,IF(Budget1&gt;=ShortlistFinal,AK117,AM117+IF(COUNTIFS($AN$5:$AN$119,"&gt;"&amp;AN117)+COUNTIFS($AN$5:$AN$119,AN117,$AF$5:$AF$119,"&lt;"&amp;AF117)&lt;Budget1-SUM($AM$5:$AM$119),1,0)))</f>
        <v>0</v>
      </c>
      <c r="AP117" s="26" t="n">
        <f aca="false">IF(AG117="Yes",IF(Budget2&gt;=ShortlistFinal,AK117,AK117/ShortlistFinal*Budget2),0)</f>
        <v>0</v>
      </c>
      <c r="AQ117" s="30" t="n">
        <f aca="false">INT(AP117)</f>
        <v>0</v>
      </c>
      <c r="AR117" s="26" t="n">
        <f aca="false">IF(AND(AG117="Yes",Budget2&lt;ShortlistFinal),AP117-AQ117,-1)</f>
        <v>-1</v>
      </c>
      <c r="AS117" s="27" t="n">
        <f aca="false">IF(AG117&lt;&gt;"Yes",0,IF(Budget2&gt;=ShortlistFinal,AK117,AQ117+IF(COUNTIFS($AR$5:$AR$119,"&gt;"&amp;AR117)+COUNTIFS($AR$5:$AR$119,AR117,$AF$5:$AF$119,"&lt;"&amp;AF117)&lt;Budget2-SUM($AQ$5:$AQ$119),1,0)))</f>
        <v>0</v>
      </c>
      <c r="AT117" s="26" t="n">
        <f aca="false">AK117*Share2025</f>
        <v>0</v>
      </c>
      <c r="AU117" s="26" t="n">
        <f aca="false">AK117*Share2026</f>
        <v>0</v>
      </c>
      <c r="AV117" s="26" t="n">
        <f aca="false">AK117*Share2027</f>
        <v>0</v>
      </c>
      <c r="AW117" s="31" t="n">
        <f aca="false">INT(AT117)</f>
        <v>0</v>
      </c>
      <c r="AX117" s="31" t="n">
        <f aca="false">INT(AU117)</f>
        <v>0</v>
      </c>
      <c r="AY117" s="31" t="n">
        <f aca="false">INT(AV117)</f>
        <v>0</v>
      </c>
      <c r="AZ117" s="26" t="n">
        <f aca="false">AT117-AW117</f>
        <v>0</v>
      </c>
      <c r="BA117" s="26" t="n">
        <f aca="false">AU117-AX117</f>
        <v>0</v>
      </c>
      <c r="BB117" s="26" t="n">
        <f aca="false">AV117-AY117</f>
        <v>0</v>
      </c>
      <c r="BC117" s="31" t="n">
        <f aca="false">AK117-AW117-AX117-AY117</f>
        <v>0</v>
      </c>
      <c r="BD117" s="27" t="n">
        <f aca="false">AW117+IF((BA117&gt;AZ117)+(BB117&gt;AZ117)&lt;BC117,1,0)</f>
        <v>0</v>
      </c>
      <c r="BE117" s="27" t="n">
        <f aca="false">AX117+IF((AZ117&gt;BA117)+(BB117&gt;BA117)+(AZ117=BA117)&lt;BC117,1,0)</f>
        <v>0</v>
      </c>
      <c r="BF117" s="27" t="n">
        <f aca="false">AY117+IF((AZ117&gt;BB117)+(BA117&gt;BB117)+(AZ117=BB117)+(BA117=BB117)&lt;BC117,1,0)</f>
        <v>0</v>
      </c>
    </row>
    <row r="118" customFormat="false" ht="15" hidden="false" customHeight="false" outlineLevel="0" collapsed="false">
      <c r="A118" s="22" t="str">
        <f aca="false">'District Data'!A118</f>
        <v>Zhob</v>
      </c>
      <c r="B118" s="22" t="str">
        <f aca="false">'District Data'!C118</f>
        <v>Multan Region</v>
      </c>
      <c r="C118" s="22" t="str">
        <f aca="false">'District Data'!D118</f>
        <v>Rest</v>
      </c>
      <c r="D118" s="23" t="n">
        <f aca="false">ROUND('District Data'!E118*'District Data'!F118,0)</f>
        <v>86672</v>
      </c>
      <c r="E118" s="23" t="n">
        <f aca="false">'District Data'!I118</f>
        <v>5</v>
      </c>
      <c r="F118" s="23" t="n">
        <f aca="false">'District Data'!L118</f>
        <v>3360.9</v>
      </c>
      <c r="G118" s="24" t="n">
        <f aca="false">IFERROR(F118/(E118*Weeks),0)</f>
        <v>12.9265384615385</v>
      </c>
      <c r="H118" s="25" t="n">
        <f aca="false">IFERROR('District Data'!N118/('District Data'!M118*Weeks),0)</f>
        <v>0</v>
      </c>
      <c r="I118" s="24" t="n">
        <f aca="false">IFERROR(SUMIFS('District Data'!$N$5:$N$119,'District Data'!$C$5:$C$119,B118)/(SUMIFS('District Data'!$M$5:$M$119,'District Data'!$C$5:$C$119,B118)*Weeks),0)</f>
        <v>8.16663285109386</v>
      </c>
      <c r="J118" s="24" t="n">
        <f aca="false">IF(TPBasis="NI TP",IF(H118&gt;0,H118,I118),G118)</f>
        <v>8.16663285109386</v>
      </c>
      <c r="K118" s="26" t="n">
        <f aca="false">IFERROR(F118/D118,0)</f>
        <v>0.0387772290935942</v>
      </c>
      <c r="L118" s="27" t="n">
        <f aca="false">IFERROR(D118/E118,0)</f>
        <v>17334.4</v>
      </c>
      <c r="M118" s="28" t="n">
        <f aca="false">IFERROR('District Data'!L118/'District Data'!K118-1,0)</f>
        <v>-0.0520927346570397</v>
      </c>
      <c r="N118" s="28" t="n">
        <f aca="false">IFERROR(('District Data'!L118/'District Data'!J118)^(1/2)-1,0)</f>
        <v>-0.00120286056945507</v>
      </c>
      <c r="O118" s="28" t="n">
        <f aca="false">IFERROR('District Data'!I118/'District Data'!H118-1,0)</f>
        <v>0</v>
      </c>
      <c r="P118" s="7" t="str">
        <f aca="false">IF(K118&gt;=PCC_L1,"Layer 01",IF(K118&gt;=PCC_L2,"Layer 02",IF(K118&gt;=PCC_L3,"Layer 03",IF(K118&gt;=PCC_L4,"Layer 04","Layer 05"))))</f>
        <v>Layer 05</v>
      </c>
      <c r="Q118" s="7" t="str">
        <f aca="false">IF(L118&gt;=PPO_L1,"Layer 01",IF(L118&gt;=PPO_L2,"Layer 02",IF(L118&gt;=PPO_L3,"Layer 03",IF(L118&gt;=PPO_L4,"Layer 04","Layer 05"))))</f>
        <v>Layer 02</v>
      </c>
      <c r="R118" s="29" t="n">
        <f aca="false">D118/IdealPPO-E118</f>
        <v>110.562666666667</v>
      </c>
      <c r="S118" s="29" t="n">
        <f aca="false">IdealTP*Weeks-(Weeks*J118+FirstFill)</f>
        <v>275.335091743119</v>
      </c>
      <c r="T118" s="29" t="n">
        <f aca="false">IF(S118&gt;0,(F118-IdealTP*Weeks*E118)/S118,1000000000000)</f>
        <v>-1.95797781019125</v>
      </c>
      <c r="U118" s="27" t="n">
        <f aca="false">IF(E118&lt;=0,0,IF(G118&lt;=IdealTP,0,IF(L118&lt;=IdealPPO,0,INT(MIN(T118,R118)+0.000000001))))</f>
        <v>0</v>
      </c>
      <c r="V118" s="7" t="str">
        <f aca="false">IF(E118&lt;=0,"No current outlets",IF(G118&lt;=IdealTP,"TP already at or below ideal",IF(L118&lt;=IdealPPO,"PPO already at or below ideal",IF(T118&lt;=R118,"Stopped by TP reaching ideal","Stopped by PPO reaching ideal"))))</f>
        <v>TP already at or below ideal</v>
      </c>
      <c r="W118" s="30" t="n">
        <f aca="false">F118+U118*(Weeks*J118+FirstFill)</f>
        <v>3360.9</v>
      </c>
      <c r="X118" s="30" t="n">
        <f aca="false">E118+U118</f>
        <v>5</v>
      </c>
      <c r="Y118" s="24" t="n">
        <f aca="false">IFERROR(W118/(X118*Weeks),0)</f>
        <v>12.9265384615385</v>
      </c>
      <c r="Z118" s="30" t="n">
        <f aca="false">IFERROR(D118/X118,0)</f>
        <v>17334.4</v>
      </c>
      <c r="AA118" s="7" t="str">
        <f aca="false">IF(AND(K118&gt;=NationalPCC,L118&gt;IdealPPO),"Q1: High PCC, High PPO",IF(K118&gt;=NationalPCC,"Q2: High PCC, Low PPO",IF(L118&gt;IdealPPO,"Q3: Low PCC, High PPO","Q4: Low PCC, Low PPO")))</f>
        <v>Q3: Low PCC, High PPO</v>
      </c>
      <c r="AB118" s="7" t="str">
        <f aca="false">IF(K118&gt;=NationalPCC,IF(L118&gt;IdealPPO,"Phase 1","Phase 2"),"Phase 3")</f>
        <v>Phase 3</v>
      </c>
      <c r="AC118" s="7" t="str">
        <f aca="false">IF(AND(G118&gt;IdealTP,L118&gt;IdealPPO),"High TP, High PPO",IF(G118&gt;IdealTP,"High TP, Low PPO",IF(L118&gt;IdealPPO,"Low TP, High PPO","Low TP, Low PPO")))</f>
        <v>Low TP, High PPO</v>
      </c>
      <c r="AD118" s="31" t="n">
        <f aca="false">INDEX(WaveNumbers,MATCH(C118,WaveNames,0))</f>
        <v>4</v>
      </c>
      <c r="AE118" s="32" t="str">
        <f aca="false">IF(U118&gt;0,AD118*10000000+VALUE(RIGHT(AB118,1))*1000000+(1000000-U118)+ROW()/1000000,"")</f>
        <v/>
      </c>
      <c r="AF118" s="31" t="str">
        <f aca="false">IF(U118&gt;0,COUNTIFS($AE$5:$AE$119,"&lt;"&amp;AE118)+1,"")</f>
        <v/>
      </c>
      <c r="AG118" s="7" t="str">
        <f aca="false">IF(AF118="","No",IF(AF118&lt;=TopN,"Yes","No"))</f>
        <v>No</v>
      </c>
      <c r="AH118" s="30" t="n">
        <f aca="false">INT('District Data'!O118*ConvRate)</f>
        <v>9</v>
      </c>
      <c r="AI118" s="27" t="n">
        <f aca="false">MIN(U118,AH118)</f>
        <v>0</v>
      </c>
      <c r="AJ118" s="7" t="str">
        <f aca="false">IF(U118=0,"No expansion",IF(AH118&lt;U118,"Supply constrained (not enough shops)","Demand constrained (enough shops)"))</f>
        <v>No expansion</v>
      </c>
      <c r="AK118" s="30" t="n">
        <f aca="false">IF(AG118="Yes",AI118,0)</f>
        <v>0</v>
      </c>
      <c r="AL118" s="26" t="n">
        <f aca="false">IF(AG118="Yes",IF(Budget1&gt;=ShortlistFinal,AK118,AK118/ShortlistFinal*Budget1),0)</f>
        <v>0</v>
      </c>
      <c r="AM118" s="30" t="n">
        <f aca="false">INT(AL118)</f>
        <v>0</v>
      </c>
      <c r="AN118" s="26" t="n">
        <f aca="false">IF(AND(AG118="Yes",Budget1&lt;ShortlistFinal),AL118-AM118,-1)</f>
        <v>-1</v>
      </c>
      <c r="AO118" s="27" t="n">
        <f aca="false">IF(AG118&lt;&gt;"Yes",0,IF(Budget1&gt;=ShortlistFinal,AK118,AM118+IF(COUNTIFS($AN$5:$AN$119,"&gt;"&amp;AN118)+COUNTIFS($AN$5:$AN$119,AN118,$AF$5:$AF$119,"&lt;"&amp;AF118)&lt;Budget1-SUM($AM$5:$AM$119),1,0)))</f>
        <v>0</v>
      </c>
      <c r="AP118" s="26" t="n">
        <f aca="false">IF(AG118="Yes",IF(Budget2&gt;=ShortlistFinal,AK118,AK118/ShortlistFinal*Budget2),0)</f>
        <v>0</v>
      </c>
      <c r="AQ118" s="30" t="n">
        <f aca="false">INT(AP118)</f>
        <v>0</v>
      </c>
      <c r="AR118" s="26" t="n">
        <f aca="false">IF(AND(AG118="Yes",Budget2&lt;ShortlistFinal),AP118-AQ118,-1)</f>
        <v>-1</v>
      </c>
      <c r="AS118" s="27" t="n">
        <f aca="false">IF(AG118&lt;&gt;"Yes",0,IF(Budget2&gt;=ShortlistFinal,AK118,AQ118+IF(COUNTIFS($AR$5:$AR$119,"&gt;"&amp;AR118)+COUNTIFS($AR$5:$AR$119,AR118,$AF$5:$AF$119,"&lt;"&amp;AF118)&lt;Budget2-SUM($AQ$5:$AQ$119),1,0)))</f>
        <v>0</v>
      </c>
      <c r="AT118" s="26" t="n">
        <f aca="false">AK118*Share2025</f>
        <v>0</v>
      </c>
      <c r="AU118" s="26" t="n">
        <f aca="false">AK118*Share2026</f>
        <v>0</v>
      </c>
      <c r="AV118" s="26" t="n">
        <f aca="false">AK118*Share2027</f>
        <v>0</v>
      </c>
      <c r="AW118" s="31" t="n">
        <f aca="false">INT(AT118)</f>
        <v>0</v>
      </c>
      <c r="AX118" s="31" t="n">
        <f aca="false">INT(AU118)</f>
        <v>0</v>
      </c>
      <c r="AY118" s="31" t="n">
        <f aca="false">INT(AV118)</f>
        <v>0</v>
      </c>
      <c r="AZ118" s="26" t="n">
        <f aca="false">AT118-AW118</f>
        <v>0</v>
      </c>
      <c r="BA118" s="26" t="n">
        <f aca="false">AU118-AX118</f>
        <v>0</v>
      </c>
      <c r="BB118" s="26" t="n">
        <f aca="false">AV118-AY118</f>
        <v>0</v>
      </c>
      <c r="BC118" s="31" t="n">
        <f aca="false">AK118-AW118-AX118-AY118</f>
        <v>0</v>
      </c>
      <c r="BD118" s="27" t="n">
        <f aca="false">AW118+IF((BA118&gt;AZ118)+(BB118&gt;AZ118)&lt;BC118,1,0)</f>
        <v>0</v>
      </c>
      <c r="BE118" s="27" t="n">
        <f aca="false">AX118+IF((AZ118&gt;BA118)+(BB118&gt;BA118)+(AZ118=BA118)&lt;BC118,1,0)</f>
        <v>0</v>
      </c>
      <c r="BF118" s="27" t="n">
        <f aca="false">AY118+IF((AZ118&gt;BB118)+(BA118&gt;BB118)+(AZ118=BB118)+(BA118=BB118)&lt;BC118,1,0)</f>
        <v>0</v>
      </c>
    </row>
    <row r="119" customFormat="false" ht="15" hidden="false" customHeight="false" outlineLevel="0" collapsed="false">
      <c r="A119" s="22" t="str">
        <f aca="false">'District Data'!A119</f>
        <v>Ziarat</v>
      </c>
      <c r="B119" s="22" t="str">
        <f aca="false">'District Data'!C119</f>
        <v>Multan Region</v>
      </c>
      <c r="C119" s="22" t="str">
        <f aca="false">'District Data'!D119</f>
        <v>Rest</v>
      </c>
      <c r="D119" s="23" t="n">
        <f aca="false">ROUND('District Data'!E119*'District Data'!F119,0)</f>
        <v>45227</v>
      </c>
      <c r="E119" s="23" t="n">
        <f aca="false">'District Data'!I119</f>
        <v>3</v>
      </c>
      <c r="F119" s="23" t="n">
        <f aca="false">'District Data'!L119</f>
        <v>806.3</v>
      </c>
      <c r="G119" s="24" t="n">
        <f aca="false">IFERROR(F119/(E119*Weeks),0)</f>
        <v>5.16858974358974</v>
      </c>
      <c r="H119" s="25" t="n">
        <f aca="false">IFERROR('District Data'!N119/('District Data'!M119*Weeks),0)</f>
        <v>0</v>
      </c>
      <c r="I119" s="24" t="n">
        <f aca="false">IFERROR(SUMIFS('District Data'!$N$5:$N$119,'District Data'!$C$5:$C$119,B119)/(SUMIFS('District Data'!$M$5:$M$119,'District Data'!$C$5:$C$119,B119)*Weeks),0)</f>
        <v>8.16663285109386</v>
      </c>
      <c r="J119" s="24" t="n">
        <f aca="false">IF(TPBasis="NI TP",IF(H119&gt;0,H119,I119),G119)</f>
        <v>8.16663285109386</v>
      </c>
      <c r="K119" s="26" t="n">
        <f aca="false">IFERROR(F119/D119,0)</f>
        <v>0.0178278461980675</v>
      </c>
      <c r="L119" s="27" t="n">
        <f aca="false">IFERROR(D119/E119,0)</f>
        <v>15075.6666666667</v>
      </c>
      <c r="M119" s="28" t="n">
        <f aca="false">IFERROR('District Data'!L119/'District Data'!K119-1,0)</f>
        <v>-0.0575102279368791</v>
      </c>
      <c r="N119" s="28" t="n">
        <f aca="false">IFERROR(('District Data'!L119/'District Data'!J119)^(1/2)-1,0)</f>
        <v>-0.0575610197212769</v>
      </c>
      <c r="O119" s="28" t="n">
        <f aca="false">IFERROR('District Data'!I119/'District Data'!H119-1,0)</f>
        <v>0</v>
      </c>
      <c r="P119" s="7" t="str">
        <f aca="false">IF(K119&gt;=PCC_L1,"Layer 01",IF(K119&gt;=PCC_L2,"Layer 02",IF(K119&gt;=PCC_L3,"Layer 03",IF(K119&gt;=PCC_L4,"Layer 04","Layer 05"))))</f>
        <v>Layer 05</v>
      </c>
      <c r="Q119" s="7" t="str">
        <f aca="false">IF(L119&gt;=PPO_L1,"Layer 01",IF(L119&gt;=PPO_L2,"Layer 02",IF(L119&gt;=PPO_L3,"Layer 03",IF(L119&gt;=PPO_L4,"Layer 04","Layer 05"))))</f>
        <v>Layer 02</v>
      </c>
      <c r="R119" s="29" t="n">
        <f aca="false">D119/IdealPPO-E119</f>
        <v>57.3026666666667</v>
      </c>
      <c r="S119" s="29" t="n">
        <f aca="false">IdealTP*Weeks-(Weeks*J119+FirstFill)</f>
        <v>275.335091743119</v>
      </c>
      <c r="T119" s="29" t="n">
        <f aca="false">IF(S119&gt;0,(F119-IdealTP*Weeks*E119)/S119,1000000000000)</f>
        <v>-5.57030340844059</v>
      </c>
      <c r="U119" s="27" t="n">
        <f aca="false">IF(E119&lt;=0,0,IF(G119&lt;=IdealTP,0,IF(L119&lt;=IdealPPO,0,INT(MIN(T119,R119)+0.000000001))))</f>
        <v>0</v>
      </c>
      <c r="V119" s="7" t="str">
        <f aca="false">IF(E119&lt;=0,"No current outlets",IF(G119&lt;=IdealTP,"TP already at or below ideal",IF(L119&lt;=IdealPPO,"PPO already at or below ideal",IF(T119&lt;=R119,"Stopped by TP reaching ideal","Stopped by PPO reaching ideal"))))</f>
        <v>TP already at or below ideal</v>
      </c>
      <c r="W119" s="30" t="n">
        <f aca="false">F119+U119*(Weeks*J119+FirstFill)</f>
        <v>806.3</v>
      </c>
      <c r="X119" s="30" t="n">
        <f aca="false">E119+U119</f>
        <v>3</v>
      </c>
      <c r="Y119" s="24" t="n">
        <f aca="false">IFERROR(W119/(X119*Weeks),0)</f>
        <v>5.16858974358974</v>
      </c>
      <c r="Z119" s="30" t="n">
        <f aca="false">IFERROR(D119/X119,0)</f>
        <v>15075.6666666667</v>
      </c>
      <c r="AA119" s="7" t="str">
        <f aca="false">IF(AND(K119&gt;=NationalPCC,L119&gt;IdealPPO),"Q1: High PCC, High PPO",IF(K119&gt;=NationalPCC,"Q2: High PCC, Low PPO",IF(L119&gt;IdealPPO,"Q3: Low PCC, High PPO","Q4: Low PCC, Low PPO")))</f>
        <v>Q3: Low PCC, High PPO</v>
      </c>
      <c r="AB119" s="7" t="str">
        <f aca="false">IF(K119&gt;=NationalPCC,IF(L119&gt;IdealPPO,"Phase 1","Phase 2"),"Phase 3")</f>
        <v>Phase 3</v>
      </c>
      <c r="AC119" s="7" t="str">
        <f aca="false">IF(AND(G119&gt;IdealTP,L119&gt;IdealPPO),"High TP, High PPO",IF(G119&gt;IdealTP,"High TP, Low PPO",IF(L119&gt;IdealPPO,"Low TP, High PPO","Low TP, Low PPO")))</f>
        <v>Low TP, High PPO</v>
      </c>
      <c r="AD119" s="31" t="n">
        <f aca="false">INDEX(WaveNumbers,MATCH(C119,WaveNames,0))</f>
        <v>4</v>
      </c>
      <c r="AE119" s="32" t="str">
        <f aca="false">IF(U119&gt;0,AD119*10000000+VALUE(RIGHT(AB119,1))*1000000+(1000000-U119)+ROW()/1000000,"")</f>
        <v/>
      </c>
      <c r="AF119" s="31" t="str">
        <f aca="false">IF(U119&gt;0,COUNTIFS($AE$5:$AE$119,"&lt;"&amp;AE119)+1,"")</f>
        <v/>
      </c>
      <c r="AG119" s="7" t="str">
        <f aca="false">IF(AF119="","No",IF(AF119&lt;=TopN,"Yes","No"))</f>
        <v>No</v>
      </c>
      <c r="AH119" s="30" t="n">
        <f aca="false">INT('District Data'!O119*ConvRate)</f>
        <v>0</v>
      </c>
      <c r="AI119" s="27" t="n">
        <f aca="false">MIN(U119,AH119)</f>
        <v>0</v>
      </c>
      <c r="AJ119" s="7" t="str">
        <f aca="false">IF(U119=0,"No expansion",IF(AH119&lt;U119,"Supply constrained (not enough shops)","Demand constrained (enough shops)"))</f>
        <v>No expansion</v>
      </c>
      <c r="AK119" s="30" t="n">
        <f aca="false">IF(AG119="Yes",AI119,0)</f>
        <v>0</v>
      </c>
      <c r="AL119" s="26" t="n">
        <f aca="false">IF(AG119="Yes",IF(Budget1&gt;=ShortlistFinal,AK119,AK119/ShortlistFinal*Budget1),0)</f>
        <v>0</v>
      </c>
      <c r="AM119" s="30" t="n">
        <f aca="false">INT(AL119)</f>
        <v>0</v>
      </c>
      <c r="AN119" s="26" t="n">
        <f aca="false">IF(AND(AG119="Yes",Budget1&lt;ShortlistFinal),AL119-AM119,-1)</f>
        <v>-1</v>
      </c>
      <c r="AO119" s="27" t="n">
        <f aca="false">IF(AG119&lt;&gt;"Yes",0,IF(Budget1&gt;=ShortlistFinal,AK119,AM119+IF(COUNTIFS($AN$5:$AN$119,"&gt;"&amp;AN119)+COUNTIFS($AN$5:$AN$119,AN119,$AF$5:$AF$119,"&lt;"&amp;AF119)&lt;Budget1-SUM($AM$5:$AM$119),1,0)))</f>
        <v>0</v>
      </c>
      <c r="AP119" s="26" t="n">
        <f aca="false">IF(AG119="Yes",IF(Budget2&gt;=ShortlistFinal,AK119,AK119/ShortlistFinal*Budget2),0)</f>
        <v>0</v>
      </c>
      <c r="AQ119" s="30" t="n">
        <f aca="false">INT(AP119)</f>
        <v>0</v>
      </c>
      <c r="AR119" s="26" t="n">
        <f aca="false">IF(AND(AG119="Yes",Budget2&lt;ShortlistFinal),AP119-AQ119,-1)</f>
        <v>-1</v>
      </c>
      <c r="AS119" s="27" t="n">
        <f aca="false">IF(AG119&lt;&gt;"Yes",0,IF(Budget2&gt;=ShortlistFinal,AK119,AQ119+IF(COUNTIFS($AR$5:$AR$119,"&gt;"&amp;AR119)+COUNTIFS($AR$5:$AR$119,AR119,$AF$5:$AF$119,"&lt;"&amp;AF119)&lt;Budget2-SUM($AQ$5:$AQ$119),1,0)))</f>
        <v>0</v>
      </c>
      <c r="AT119" s="26" t="n">
        <f aca="false">AK119*Share2025</f>
        <v>0</v>
      </c>
      <c r="AU119" s="26" t="n">
        <f aca="false">AK119*Share2026</f>
        <v>0</v>
      </c>
      <c r="AV119" s="26" t="n">
        <f aca="false">AK119*Share2027</f>
        <v>0</v>
      </c>
      <c r="AW119" s="31" t="n">
        <f aca="false">INT(AT119)</f>
        <v>0</v>
      </c>
      <c r="AX119" s="31" t="n">
        <f aca="false">INT(AU119)</f>
        <v>0</v>
      </c>
      <c r="AY119" s="31" t="n">
        <f aca="false">INT(AV119)</f>
        <v>0</v>
      </c>
      <c r="AZ119" s="26" t="n">
        <f aca="false">AT119-AW119</f>
        <v>0</v>
      </c>
      <c r="BA119" s="26" t="n">
        <f aca="false">AU119-AX119</f>
        <v>0</v>
      </c>
      <c r="BB119" s="26" t="n">
        <f aca="false">AV119-AY119</f>
        <v>0</v>
      </c>
      <c r="BC119" s="31" t="n">
        <f aca="false">AK119-AW119-AX119-AY119</f>
        <v>0</v>
      </c>
      <c r="BD119" s="27" t="n">
        <f aca="false">AW119+IF((BA119&gt;AZ119)+(BB119&gt;AZ119)&lt;BC119,1,0)</f>
        <v>0</v>
      </c>
      <c r="BE119" s="27" t="n">
        <f aca="false">AX119+IF((AZ119&gt;BA119)+(BB119&gt;BA119)+(AZ119=BA119)&lt;BC119,1,0)</f>
        <v>0</v>
      </c>
      <c r="BF119" s="27" t="n">
        <f aca="false">AY119+IF((AZ119&gt;BB119)+(BA119&gt;BB119)+(AZ119=BB119)+(BA119=BB119)&lt;BC119,1,0)</f>
        <v>0</v>
      </c>
    </row>
  </sheetData>
  <conditionalFormatting sqref="AG5:AG119">
    <cfRule type="cellIs" priority="2" operator="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8"/>
  </cols>
  <sheetData>
    <row r="1" customFormat="false" ht="17.35" hidden="false" customHeight="false" outlineLevel="0" collapsed="false">
      <c r="A1" s="1" t="s">
        <v>272</v>
      </c>
    </row>
    <row r="2" customFormat="false" ht="15" hidden="false" customHeight="false" outlineLevel="0" collapsed="false">
      <c r="A2" s="5" t="s">
        <v>1</v>
      </c>
    </row>
    <row r="4" customFormat="false" ht="15" hidden="false" customHeight="false" outlineLevel="0" collapsed="false">
      <c r="A4" s="3" t="s">
        <v>273</v>
      </c>
    </row>
    <row r="5" customFormat="false" ht="15" hidden="false" customHeight="false" outlineLevel="0" collapsed="false">
      <c r="A5" s="7" t="s">
        <v>274</v>
      </c>
      <c r="B5" s="30" t="n">
        <f aca="false">COUNTA(Model!$A$5:$A$119)</f>
        <v>115</v>
      </c>
    </row>
    <row r="6" customFormat="false" ht="15" hidden="false" customHeight="false" outlineLevel="0" collapsed="false">
      <c r="A6" s="7" t="s">
        <v>275</v>
      </c>
      <c r="B6" s="30" t="n">
        <f aca="false">SUM(Model!$E$5:$E$119)</f>
        <v>38616</v>
      </c>
    </row>
    <row r="7" customFormat="false" ht="15" hidden="false" customHeight="false" outlineLevel="0" collapsed="false">
      <c r="A7" s="7" t="s">
        <v>276</v>
      </c>
      <c r="B7" s="30" t="n">
        <f aca="false">COUNTIF(Model!$U$5:$U$119,"&gt;0")</f>
        <v>44</v>
      </c>
    </row>
    <row r="8" customFormat="false" ht="15" hidden="false" customHeight="false" outlineLevel="0" collapsed="false">
      <c r="A8" s="7" t="s">
        <v>277</v>
      </c>
      <c r="B8" s="30" t="n">
        <f aca="false">COUNTIF(Model!$AG$5:$AG$119,"Yes")</f>
        <v>44</v>
      </c>
    </row>
    <row r="9" customFormat="false" ht="15" hidden="false" customHeight="false" outlineLevel="0" collapsed="false">
      <c r="A9" s="7" t="s">
        <v>278</v>
      </c>
      <c r="B9" s="30" t="n">
        <f aca="false">SUM(Model!$U$5:$U$119)</f>
        <v>26899</v>
      </c>
    </row>
    <row r="10" customFormat="false" ht="15" hidden="false" customHeight="false" outlineLevel="0" collapsed="false">
      <c r="A10" s="7" t="s">
        <v>279</v>
      </c>
      <c r="B10" s="30" t="n">
        <f aca="false">SUMIFS(Model!$U$5:$U$119,Model!$AG$5:$AG$119,"Yes")</f>
        <v>26899</v>
      </c>
    </row>
    <row r="11" customFormat="false" ht="15" hidden="false" customHeight="false" outlineLevel="0" collapsed="false">
      <c r="A11" s="7" t="s">
        <v>280</v>
      </c>
      <c r="B11" s="30" t="n">
        <f aca="false">SUMIFS(Model!$AH$5:$AH$119,Model!$AG$5:$AG$119,"Yes")</f>
        <v>7304</v>
      </c>
    </row>
    <row r="12" customFormat="false" ht="15" hidden="false" customHeight="false" outlineLevel="0" collapsed="false">
      <c r="A12" s="7" t="s">
        <v>281</v>
      </c>
      <c r="B12" s="30" t="n">
        <f aca="false">ShortlistFinal</f>
        <v>6765</v>
      </c>
    </row>
    <row r="13" customFormat="false" ht="15" hidden="false" customHeight="false" outlineLevel="0" collapsed="false">
      <c r="A13" s="7" t="s">
        <v>282</v>
      </c>
      <c r="B13" s="30" t="n">
        <f aca="false">COUNTIFS(Model!$AG$5:$AG$119,"Yes",Model!$AJ$5:$AJ$119,"Supply*")</f>
        <v>28</v>
      </c>
    </row>
    <row r="15" customFormat="false" ht="15" hidden="false" customHeight="false" outlineLevel="0" collapsed="false">
      <c r="A15" s="3" t="s">
        <v>283</v>
      </c>
      <c r="B15" s="3" t="s">
        <v>284</v>
      </c>
      <c r="C15" s="3" t="s">
        <v>285</v>
      </c>
      <c r="D15" s="3" t="s">
        <v>286</v>
      </c>
      <c r="E15" s="3" t="s">
        <v>287</v>
      </c>
    </row>
    <row r="16" customFormat="false" ht="15" hidden="false" customHeight="false" outlineLevel="0" collapsed="false">
      <c r="A16" s="7" t="s">
        <v>72</v>
      </c>
      <c r="B16" s="21" t="n">
        <f aca="false">COUNTIFS(Model!$C$5:$C$119,$A16,Model!$AG$5:$AG$119,"Yes")</f>
        <v>20</v>
      </c>
      <c r="C16" s="21" t="n">
        <f aca="false">SUMIFS(Model!$U$5:$U$119,Model!$C$5:$C$119,$A16,Model!$AG$5:$AG$119,"Yes")</f>
        <v>23055</v>
      </c>
      <c r="D16" s="21" t="n">
        <f aca="false">SUMIFS(Model!$AH$5:$AH$119,Model!$C$5:$C$119,$A16,Model!$AG$5:$AG$119,"Yes")</f>
        <v>6469</v>
      </c>
      <c r="E16" s="21" t="n">
        <f aca="false">SUMIFS(Model!$AI$5:$AI$119,Model!$C$5:$C$119,$A16,Model!$AG$5:$AG$119,"Yes")</f>
        <v>6243</v>
      </c>
    </row>
    <row r="17" customFormat="false" ht="15" hidden="false" customHeight="false" outlineLevel="0" collapsed="false">
      <c r="A17" s="7" t="s">
        <v>73</v>
      </c>
      <c r="B17" s="21" t="n">
        <f aca="false">COUNTIFS(Model!$C$5:$C$119,$A17,Model!$AG$5:$AG$119,"Yes")</f>
        <v>17</v>
      </c>
      <c r="C17" s="21" t="n">
        <f aca="false">SUMIFS(Model!$U$5:$U$119,Model!$C$5:$C$119,$A17,Model!$AG$5:$AG$119,"Yes")</f>
        <v>2962</v>
      </c>
      <c r="D17" s="21" t="n">
        <f aca="false">SUMIFS(Model!$AH$5:$AH$119,Model!$C$5:$C$119,$A17,Model!$AG$5:$AG$119,"Yes")</f>
        <v>732</v>
      </c>
      <c r="E17" s="21" t="n">
        <f aca="false">SUMIFS(Model!$AI$5:$AI$119,Model!$C$5:$C$119,$A17,Model!$AG$5:$AG$119,"Yes")</f>
        <v>441</v>
      </c>
    </row>
    <row r="18" customFormat="false" ht="15" hidden="false" customHeight="false" outlineLevel="0" collapsed="false">
      <c r="A18" s="7" t="s">
        <v>74</v>
      </c>
      <c r="B18" s="21" t="n">
        <f aca="false">COUNTIFS(Model!$C$5:$C$119,$A18,Model!$AG$5:$AG$119,"Yes")</f>
        <v>0</v>
      </c>
      <c r="C18" s="21" t="n">
        <f aca="false">SUMIFS(Model!$U$5:$U$119,Model!$C$5:$C$119,$A18,Model!$AG$5:$AG$119,"Yes")</f>
        <v>0</v>
      </c>
      <c r="D18" s="21" t="n">
        <f aca="false">SUMIFS(Model!$AH$5:$AH$119,Model!$C$5:$C$119,$A18,Model!$AG$5:$AG$119,"Yes")</f>
        <v>0</v>
      </c>
      <c r="E18" s="21" t="n">
        <f aca="false">SUMIFS(Model!$AI$5:$AI$119,Model!$C$5:$C$119,$A18,Model!$AG$5:$AG$119,"Yes")</f>
        <v>0</v>
      </c>
    </row>
    <row r="19" customFormat="false" ht="15" hidden="false" customHeight="false" outlineLevel="0" collapsed="false">
      <c r="A19" s="7" t="s">
        <v>75</v>
      </c>
      <c r="B19" s="21" t="n">
        <f aca="false">COUNTIFS(Model!$C$5:$C$119,$A19,Model!$AG$5:$AG$119,"Yes")</f>
        <v>7</v>
      </c>
      <c r="C19" s="21" t="n">
        <f aca="false">SUMIFS(Model!$U$5:$U$119,Model!$C$5:$C$119,$A19,Model!$AG$5:$AG$119,"Yes")</f>
        <v>882</v>
      </c>
      <c r="D19" s="21" t="n">
        <f aca="false">SUMIFS(Model!$AH$5:$AH$119,Model!$C$5:$C$119,$A19,Model!$AG$5:$AG$119,"Yes")</f>
        <v>103</v>
      </c>
      <c r="E19" s="21" t="n">
        <f aca="false">SUMIFS(Model!$AI$5:$AI$119,Model!$C$5:$C$119,$A19,Model!$AG$5:$AG$119,"Yes")</f>
        <v>81</v>
      </c>
    </row>
    <row r="21" customFormat="false" ht="15" hidden="false" customHeight="false" outlineLevel="0" collapsed="false">
      <c r="A21" s="3" t="s">
        <v>288</v>
      </c>
      <c r="B21" s="3" t="s">
        <v>284</v>
      </c>
      <c r="C21" s="3" t="s">
        <v>287</v>
      </c>
      <c r="D21" s="3" t="s">
        <v>289</v>
      </c>
      <c r="E21" s="3" t="s">
        <v>290</v>
      </c>
    </row>
    <row r="22" customFormat="false" ht="15" hidden="false" customHeight="false" outlineLevel="0" collapsed="false">
      <c r="A22" s="7" t="s">
        <v>94</v>
      </c>
      <c r="B22" s="21" t="n">
        <f aca="false">COUNTIFS(Model!$B$5:$B$119,$A22,Model!$AG$5:$AG$119,"Yes")</f>
        <v>7</v>
      </c>
      <c r="C22" s="21" t="n">
        <f aca="false">SUMIFS(Model!$AI$5:$AI$119,Model!$B$5:$B$119,$A22,Model!$AG$5:$AG$119,"Yes")</f>
        <v>693</v>
      </c>
      <c r="D22" s="21" t="n">
        <f aca="false">SUMIFS(Model!$AO$5:$AO$119,Model!$B$5:$B$119,$A22,Model!$AG$5:$AG$119,"Yes")</f>
        <v>409</v>
      </c>
      <c r="E22" s="21" t="n">
        <f aca="false">SUMIFS(Model!$AS$5:$AS$119,Model!$B$5:$B$119,$A22,Model!$AG$5:$AG$119,"Yes")</f>
        <v>614</v>
      </c>
    </row>
    <row r="23" customFormat="false" ht="15" hidden="false" customHeight="false" outlineLevel="0" collapsed="false">
      <c r="A23" s="7" t="s">
        <v>99</v>
      </c>
      <c r="B23" s="21" t="n">
        <f aca="false">COUNTIFS(Model!$B$5:$B$119,$A23,Model!$AG$5:$AG$119,"Yes")</f>
        <v>9</v>
      </c>
      <c r="C23" s="21" t="n">
        <f aca="false">SUMIFS(Model!$AI$5:$AI$119,Model!$B$5:$B$119,$A23,Model!$AG$5:$AG$119,"Yes")</f>
        <v>2241</v>
      </c>
      <c r="D23" s="21" t="n">
        <f aca="false">SUMIFS(Model!$AO$5:$AO$119,Model!$B$5:$B$119,$A23,Model!$AG$5:$AG$119,"Yes")</f>
        <v>1326</v>
      </c>
      <c r="E23" s="21" t="n">
        <f aca="false">SUMIFS(Model!$AS$5:$AS$119,Model!$B$5:$B$119,$A23,Model!$AG$5:$AG$119,"Yes")</f>
        <v>1987</v>
      </c>
    </row>
    <row r="24" customFormat="false" ht="15" hidden="false" customHeight="false" outlineLevel="0" collapsed="false">
      <c r="A24" s="7" t="s">
        <v>121</v>
      </c>
      <c r="B24" s="21" t="n">
        <f aca="false">COUNTIFS(Model!$B$5:$B$119,$A24,Model!$AG$5:$AG$119,"Yes")</f>
        <v>9</v>
      </c>
      <c r="C24" s="21" t="n">
        <f aca="false">SUMIFS(Model!$AI$5:$AI$119,Model!$B$5:$B$119,$A24,Model!$AG$5:$AG$119,"Yes")</f>
        <v>2779</v>
      </c>
      <c r="D24" s="21" t="n">
        <f aca="false">SUMIFS(Model!$AO$5:$AO$119,Model!$B$5:$B$119,$A24,Model!$AG$5:$AG$119,"Yes")</f>
        <v>1642</v>
      </c>
      <c r="E24" s="21" t="n">
        <f aca="false">SUMIFS(Model!$AS$5:$AS$119,Model!$B$5:$B$119,$A24,Model!$AG$5:$AG$119,"Yes")</f>
        <v>2464</v>
      </c>
    </row>
    <row r="25" customFormat="false" ht="15" hidden="false" customHeight="false" outlineLevel="0" collapsed="false">
      <c r="A25" s="7" t="s">
        <v>103</v>
      </c>
      <c r="B25" s="21" t="n">
        <f aca="false">COUNTIFS(Model!$B$5:$B$119,$A25,Model!$AG$5:$AG$119,"Yes")</f>
        <v>12</v>
      </c>
      <c r="C25" s="21" t="n">
        <f aca="false">SUMIFS(Model!$AI$5:$AI$119,Model!$B$5:$B$119,$A25,Model!$AG$5:$AG$119,"Yes")</f>
        <v>768</v>
      </c>
      <c r="D25" s="21" t="n">
        <f aca="false">SUMIFS(Model!$AO$5:$AO$119,Model!$B$5:$B$119,$A25,Model!$AG$5:$AG$119,"Yes")</f>
        <v>455</v>
      </c>
      <c r="E25" s="21" t="n">
        <f aca="false">SUMIFS(Model!$AS$5:$AS$119,Model!$B$5:$B$119,$A25,Model!$AG$5:$AG$119,"Yes")</f>
        <v>682</v>
      </c>
    </row>
    <row r="26" customFormat="false" ht="15" hidden="false" customHeight="false" outlineLevel="0" collapsed="false">
      <c r="A26" s="7" t="s">
        <v>106</v>
      </c>
      <c r="B26" s="21" t="n">
        <f aca="false">COUNTIFS(Model!$B$5:$B$119,$A26,Model!$AG$5:$AG$119,"Yes")</f>
        <v>7</v>
      </c>
      <c r="C26" s="21" t="n">
        <f aca="false">SUMIFS(Model!$AI$5:$AI$119,Model!$B$5:$B$119,$A26,Model!$AG$5:$AG$119,"Yes")</f>
        <v>284</v>
      </c>
      <c r="D26" s="21" t="n">
        <f aca="false">SUMIFS(Model!$AO$5:$AO$119,Model!$B$5:$B$119,$A26,Model!$AG$5:$AG$119,"Yes")</f>
        <v>168</v>
      </c>
      <c r="E26" s="21" t="n">
        <f aca="false">SUMIFS(Model!$AS$5:$AS$119,Model!$B$5:$B$119,$A26,Model!$AG$5:$AG$119,"Yes")</f>
        <v>253</v>
      </c>
    </row>
    <row r="28" customFormat="false" ht="15" hidden="false" customHeight="false" outlineLevel="0" collapsed="false">
      <c r="A28" s="3" t="s">
        <v>291</v>
      </c>
    </row>
    <row r="29" customFormat="false" ht="15" hidden="false" customHeight="false" outlineLevel="0" collapsed="false">
      <c r="A29" s="7" t="s">
        <v>292</v>
      </c>
      <c r="B29" s="21" t="n">
        <f aca="false">SUM(Model!$BD$5:$BD$119)</f>
        <v>2398</v>
      </c>
    </row>
    <row r="30" customFormat="false" ht="15" hidden="false" customHeight="false" outlineLevel="0" collapsed="false">
      <c r="A30" s="7" t="s">
        <v>293</v>
      </c>
      <c r="B30" s="21" t="n">
        <f aca="false">SUM(Model!$BE$5:$BE$119)</f>
        <v>2379</v>
      </c>
    </row>
    <row r="31" customFormat="false" ht="15" hidden="false" customHeight="false" outlineLevel="0" collapsed="false">
      <c r="A31" s="7" t="s">
        <v>294</v>
      </c>
      <c r="B31" s="21" t="n">
        <f aca="false">SUM(Model!$BF$5:$BF$119)</f>
        <v>1988</v>
      </c>
    </row>
    <row r="32" customFormat="false" ht="15" hidden="false" customHeight="false" outlineLevel="0" collapsed="false">
      <c r="A32" s="3" t="s">
        <v>295</v>
      </c>
      <c r="B32" s="21" t="n">
        <f aca="false">SUM(B29:B31)</f>
        <v>6765</v>
      </c>
    </row>
    <row r="34" customFormat="false" ht="15" hidden="false" customHeight="false" outlineLevel="0" collapsed="false">
      <c r="A34" s="3" t="s">
        <v>296</v>
      </c>
      <c r="B34" s="3" t="s">
        <v>297</v>
      </c>
      <c r="C34" s="3" t="s">
        <v>298</v>
      </c>
    </row>
    <row r="35" customFormat="false" ht="15" hidden="false" customHeight="false" outlineLevel="0" collapsed="false">
      <c r="A35" s="7" t="s">
        <v>299</v>
      </c>
      <c r="B35" s="21" t="n">
        <f aca="false">Budget1</f>
        <v>4000</v>
      </c>
      <c r="C35" s="21" t="n">
        <f aca="false">SUM(Model!$AO$5:$AO$119)</f>
        <v>4000</v>
      </c>
    </row>
    <row r="36" customFormat="false" ht="15" hidden="false" customHeight="false" outlineLevel="0" collapsed="false">
      <c r="A36" s="7" t="s">
        <v>300</v>
      </c>
      <c r="B36" s="21" t="n">
        <f aca="false">Budget2</f>
        <v>6000</v>
      </c>
      <c r="C36" s="21" t="n">
        <f aca="false">SUM(Model!$AS$5:$AS$119)</f>
        <v>6000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32"/>
    <col collapsed="false" customWidth="true" hidden="false" outlineLevel="0" max="4" min="4" style="0" width="18"/>
    <col collapsed="false" customWidth="true" hidden="false" outlineLevel="0" max="5" min="5" style="0" width="10"/>
  </cols>
  <sheetData>
    <row r="1" customFormat="false" ht="17.35" hidden="false" customHeight="false" outlineLevel="0" collapsed="false">
      <c r="A1" s="1" t="s">
        <v>301</v>
      </c>
    </row>
    <row r="2" customFormat="false" ht="15" hidden="false" customHeight="false" outlineLevel="0" collapsed="false">
      <c r="A2" s="5" t="s">
        <v>302</v>
      </c>
    </row>
    <row r="4" customFormat="false" ht="45" hidden="false" customHeight="true" outlineLevel="0" collapsed="false">
      <c r="A4" s="16" t="s">
        <v>77</v>
      </c>
      <c r="B4" s="16" t="s">
        <v>303</v>
      </c>
      <c r="C4" s="16" t="s">
        <v>304</v>
      </c>
      <c r="D4" s="16" t="s">
        <v>305</v>
      </c>
      <c r="E4" s="16"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2026-10-07T02:25:37Z</dcterms:created>
  <dc:creator>openpyxl</dc:creator>
  <dc:description/>
  <dc:language>en-US</dc:language>
  <cp:lastModifiedBy/>
  <dcterms:modified xsi:type="dcterms:W3CDTF">2026-10-07T02:25:37Z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